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-75" yWindow="90" windowWidth="11430" windowHeight="7785" tabRatio="537"/>
  </bookViews>
  <sheets>
    <sheet name="bd_origen" sheetId="3" r:id="rId1"/>
    <sheet name="pagos anticipados" sheetId="5" r:id="rId2"/>
    <sheet name="Tabla_CAT" sheetId="1" r:id="rId3"/>
  </sheets>
  <functionGroups/>
  <externalReferences>
    <externalReference r:id="rId4"/>
  </externalReferences>
  <definedNames>
    <definedName name="_35__de_Enganche">Tabla_CAT!#REF!</definedName>
    <definedName name="_xlnm._FilterDatabase" localSheetId="0" hidden="1">bd_origen!$A$5:$AB$5</definedName>
    <definedName name="Aportación_Adicional__opcional">Tabla_CAT!#REF!</definedName>
    <definedName name="BD_DESTINO_INICIO">bd_origen!$R$5</definedName>
    <definedName name="BD_ORIGEN_INICIO">bd_origen!$A$5</definedName>
    <definedName name="Comisión">Tabla_CAT!#REF!</definedName>
    <definedName name="Destino">[1]Destinos!$A$16</definedName>
    <definedName name="I.V.A.">Tabla_CAT!$F$2</definedName>
    <definedName name="No_pagos_al_año">Tabla_CAT!$J$4</definedName>
    <definedName name="PAGO_FIJO">Tabla_CAT!$Q$7</definedName>
    <definedName name="Plazo_en_años">Tabla_CAT!$I$4</definedName>
    <definedName name="_xlnm.Print_Area" localSheetId="2">Tabla_CAT!$A$1:$Q$368</definedName>
    <definedName name="_xlnm.Print_Titles" localSheetId="2">Tabla_CAT!$3:$5</definedName>
    <definedName name="RESULTADO_CALCULOS">Tabla_CAT!$R$372:$AB$372</definedName>
    <definedName name="Seguro">Tabla_CAT!#REF!</definedName>
    <definedName name="Tasa_anual_sin_iva">Tabla_CAT!$D$2</definedName>
    <definedName name="Tasa_del_período_sin_iva">Tabla_CAT!$C$7</definedName>
    <definedName name="Tasa_Fija">Tabla_CAT!#REF!</definedName>
    <definedName name="Tipo_de_tasa">[1]Destinos!$D$56</definedName>
    <definedName name="Total_pagos">Tabla_CAT!$K$4</definedName>
    <definedName name="Z_FAA22086_3873_11D3_9613_0004ACB52FAD_.wvu.PrintArea" localSheetId="2" hidden="1">Tabla_CAT!$A$3:$M$368</definedName>
  </definedNames>
  <calcPr calcId="125725"/>
</workbook>
</file>

<file path=xl/calcChain.xml><?xml version="1.0" encoding="utf-8"?>
<calcChain xmlns="http://schemas.openxmlformats.org/spreadsheetml/2006/main">
  <c r="U372" i="1"/>
  <c r="J4"/>
  <c r="I4"/>
  <c r="B7"/>
  <c r="C7" s="1"/>
  <c r="AG8"/>
  <c r="R7"/>
  <c r="U7"/>
  <c r="A2" i="5"/>
  <c r="A3"/>
  <c r="A4"/>
  <c r="A5"/>
  <c r="D7" i="1"/>
  <c r="B5" i="5"/>
  <c r="B4"/>
  <c r="B3"/>
  <c r="B2"/>
  <c r="Q6" i="1"/>
  <c r="Q372"/>
  <c r="Q371"/>
  <c r="Q370"/>
  <c r="Q369"/>
  <c r="K368"/>
  <c r="J368"/>
  <c r="I368"/>
  <c r="H368"/>
  <c r="S7"/>
  <c r="K4" l="1"/>
  <c r="A8" s="1"/>
  <c r="B8" s="1"/>
  <c r="C8" s="1"/>
  <c r="L7"/>
  <c r="V7"/>
  <c r="F7"/>
  <c r="G7" s="1"/>
  <c r="AH8"/>
  <c r="AJ8" s="1"/>
  <c r="AE7" l="1"/>
  <c r="AK8"/>
  <c r="T372" s="1"/>
  <c r="S8"/>
  <c r="L8"/>
  <c r="Y7"/>
  <c r="Z7" s="1"/>
  <c r="AA7" s="1"/>
  <c r="Q7"/>
  <c r="W7" s="1"/>
  <c r="A9"/>
  <c r="A10" s="1"/>
  <c r="L10" s="1"/>
  <c r="R8"/>
  <c r="D8" s="1"/>
  <c r="AE8" s="1"/>
  <c r="AI8" l="1"/>
  <c r="AG9" s="1"/>
  <c r="AH9" s="1"/>
  <c r="Y8"/>
  <c r="Y9" s="1"/>
  <c r="Y10" s="1"/>
  <c r="S9"/>
  <c r="B10"/>
  <c r="C10" s="1"/>
  <c r="M7"/>
  <c r="A11"/>
  <c r="A12" s="1"/>
  <c r="R9"/>
  <c r="D9" s="1"/>
  <c r="AE9" s="1"/>
  <c r="U8"/>
  <c r="V8" s="1"/>
  <c r="W8" s="1"/>
  <c r="F8"/>
  <c r="G8" s="1"/>
  <c r="AC7"/>
  <c r="S10"/>
  <c r="Z8"/>
  <c r="Z9" s="1"/>
  <c r="B9"/>
  <c r="C9" s="1"/>
  <c r="L9"/>
  <c r="F9" l="1"/>
  <c r="G9" s="1"/>
  <c r="AC8"/>
  <c r="B11"/>
  <c r="C11" s="1"/>
  <c r="AA8"/>
  <c r="R10"/>
  <c r="D10" s="1"/>
  <c r="AE10" s="1"/>
  <c r="Y11"/>
  <c r="Y12" s="1"/>
  <c r="L11"/>
  <c r="S11"/>
  <c r="U9"/>
  <c r="V9" s="1"/>
  <c r="W9" s="1"/>
  <c r="Z10"/>
  <c r="Z11" s="1"/>
  <c r="AJ9"/>
  <c r="AI9" s="1"/>
  <c r="AK9" s="1"/>
  <c r="S12"/>
  <c r="L12"/>
  <c r="A13"/>
  <c r="B12"/>
  <c r="C12" s="1"/>
  <c r="R11" l="1"/>
  <c r="D11" s="1"/>
  <c r="AE11" s="1"/>
  <c r="Z12"/>
  <c r="Z13" s="1"/>
  <c r="F10"/>
  <c r="G10" s="1"/>
  <c r="AC10" s="1"/>
  <c r="AA9"/>
  <c r="AC9"/>
  <c r="U10"/>
  <c r="Q8"/>
  <c r="M8"/>
  <c r="Y13"/>
  <c r="S13"/>
  <c r="B13"/>
  <c r="C13" s="1"/>
  <c r="L13"/>
  <c r="A14"/>
  <c r="AG10"/>
  <c r="R12" l="1"/>
  <c r="R13" s="1"/>
  <c r="D13" s="1"/>
  <c r="AE13" s="1"/>
  <c r="F11"/>
  <c r="G11" s="1"/>
  <c r="AA11" s="1"/>
  <c r="V10"/>
  <c r="W10" s="1"/>
  <c r="AA10"/>
  <c r="AH10"/>
  <c r="Y14"/>
  <c r="S14"/>
  <c r="Z14"/>
  <c r="B14"/>
  <c r="C14" s="1"/>
  <c r="L14"/>
  <c r="A15"/>
  <c r="R14" l="1"/>
  <c r="D14" s="1"/>
  <c r="D12"/>
  <c r="F12" s="1"/>
  <c r="F13"/>
  <c r="G13" s="1"/>
  <c r="AA13" s="1"/>
  <c r="AC11"/>
  <c r="U11"/>
  <c r="V11" s="1"/>
  <c r="W11" s="1"/>
  <c r="AJ10"/>
  <c r="AI10" s="1"/>
  <c r="A16"/>
  <c r="Y15"/>
  <c r="Z15"/>
  <c r="L15"/>
  <c r="B15"/>
  <c r="C15" s="1"/>
  <c r="S15"/>
  <c r="AE12" l="1"/>
  <c r="R15"/>
  <c r="D15" s="1"/>
  <c r="AE15" s="1"/>
  <c r="U12"/>
  <c r="V12" s="1"/>
  <c r="W12" s="1"/>
  <c r="AC13"/>
  <c r="AE14"/>
  <c r="F14"/>
  <c r="G12"/>
  <c r="AC12" s="1"/>
  <c r="AG11"/>
  <c r="AK10"/>
  <c r="A17"/>
  <c r="S16"/>
  <c r="Z16"/>
  <c r="Y16"/>
  <c r="L16"/>
  <c r="B16"/>
  <c r="C16" s="1"/>
  <c r="R16" l="1"/>
  <c r="D16" s="1"/>
  <c r="F15"/>
  <c r="G15" s="1"/>
  <c r="AC15" s="1"/>
  <c r="U13"/>
  <c r="V13" s="1"/>
  <c r="W13" s="1"/>
  <c r="AA12"/>
  <c r="AH11"/>
  <c r="AJ11" s="1"/>
  <c r="AI11" s="1"/>
  <c r="G14"/>
  <c r="AC14" s="1"/>
  <c r="S17"/>
  <c r="Y17"/>
  <c r="B17"/>
  <c r="C17" s="1"/>
  <c r="A18"/>
  <c r="L17"/>
  <c r="Z17"/>
  <c r="M9"/>
  <c r="Q9"/>
  <c r="AA15" l="1"/>
  <c r="R17"/>
  <c r="D17" s="1"/>
  <c r="AE17" s="1"/>
  <c r="AA14"/>
  <c r="AK11"/>
  <c r="Q10" s="1"/>
  <c r="AG12"/>
  <c r="AE16"/>
  <c r="F16"/>
  <c r="U14"/>
  <c r="S18"/>
  <c r="A19"/>
  <c r="Y18"/>
  <c r="L18"/>
  <c r="B18"/>
  <c r="C18" s="1"/>
  <c r="Z18"/>
  <c r="R18" l="1"/>
  <c r="D18" s="1"/>
  <c r="F18" s="1"/>
  <c r="F17"/>
  <c r="G17" s="1"/>
  <c r="AC17" s="1"/>
  <c r="M10"/>
  <c r="G16"/>
  <c r="AC16" s="1"/>
  <c r="V14"/>
  <c r="W14" s="1"/>
  <c r="AH12"/>
  <c r="Y19"/>
  <c r="S19"/>
  <c r="Z19"/>
  <c r="A20"/>
  <c r="L19"/>
  <c r="B19"/>
  <c r="C19" s="1"/>
  <c r="AE18" l="1"/>
  <c r="AA17"/>
  <c r="R19"/>
  <c r="D19" s="1"/>
  <c r="U15"/>
  <c r="V15" s="1"/>
  <c r="W15" s="1"/>
  <c r="AA16"/>
  <c r="AJ12"/>
  <c r="AI12" s="1"/>
  <c r="G18"/>
  <c r="AA18" s="1"/>
  <c r="L20"/>
  <c r="Y20"/>
  <c r="S20"/>
  <c r="Z20"/>
  <c r="A21"/>
  <c r="B20"/>
  <c r="C20" s="1"/>
  <c r="R20" l="1"/>
  <c r="D20" s="1"/>
  <c r="AE20" s="1"/>
  <c r="AG13"/>
  <c r="AH13" s="1"/>
  <c r="AK12"/>
  <c r="M11" s="1"/>
  <c r="U16"/>
  <c r="V16" s="1"/>
  <c r="W16" s="1"/>
  <c r="AC18"/>
  <c r="AE19"/>
  <c r="F19"/>
  <c r="A22"/>
  <c r="L21"/>
  <c r="S21"/>
  <c r="B21"/>
  <c r="C21" s="1"/>
  <c r="Y21"/>
  <c r="Z21"/>
  <c r="F20" l="1"/>
  <c r="G20" s="1"/>
  <c r="AA20" s="1"/>
  <c r="R21"/>
  <c r="D21" s="1"/>
  <c r="AE21" s="1"/>
  <c r="Q11"/>
  <c r="U17"/>
  <c r="V17" s="1"/>
  <c r="W17" s="1"/>
  <c r="G19"/>
  <c r="AC19" s="1"/>
  <c r="AJ13"/>
  <c r="AI13" s="1"/>
  <c r="AG14" s="1"/>
  <c r="L22"/>
  <c r="A23"/>
  <c r="Z22"/>
  <c r="B22"/>
  <c r="C22" s="1"/>
  <c r="Y22"/>
  <c r="S22"/>
  <c r="AC20" l="1"/>
  <c r="R22"/>
  <c r="D22" s="1"/>
  <c r="F22" s="1"/>
  <c r="F21"/>
  <c r="G21" s="1"/>
  <c r="AC21" s="1"/>
  <c r="AA19"/>
  <c r="U18"/>
  <c r="AH14"/>
  <c r="AK13"/>
  <c r="S23"/>
  <c r="L23"/>
  <c r="Z23"/>
  <c r="B23"/>
  <c r="C23" s="1"/>
  <c r="A24"/>
  <c r="Y23"/>
  <c r="AE22" l="1"/>
  <c r="R23"/>
  <c r="D23" s="1"/>
  <c r="AE23" s="1"/>
  <c r="AA21"/>
  <c r="M12"/>
  <c r="Q12"/>
  <c r="AJ14"/>
  <c r="AI14" s="1"/>
  <c r="AG15" s="1"/>
  <c r="V18"/>
  <c r="W18" s="1"/>
  <c r="G22"/>
  <c r="AA22" s="1"/>
  <c r="Y24"/>
  <c r="A25"/>
  <c r="Z24"/>
  <c r="B24"/>
  <c r="C24" s="1"/>
  <c r="S24"/>
  <c r="L24"/>
  <c r="R24" l="1"/>
  <c r="D24" s="1"/>
  <c r="AE24" s="1"/>
  <c r="F23"/>
  <c r="G23" s="1"/>
  <c r="AA23" s="1"/>
  <c r="AC22"/>
  <c r="U19"/>
  <c r="AK14"/>
  <c r="AH15"/>
  <c r="B25"/>
  <c r="C25" s="1"/>
  <c r="A26"/>
  <c r="S25"/>
  <c r="Z25"/>
  <c r="L25"/>
  <c r="Y25"/>
  <c r="R25" l="1"/>
  <c r="D25" s="1"/>
  <c r="F24"/>
  <c r="G24" s="1"/>
  <c r="AC24" s="1"/>
  <c r="AC23"/>
  <c r="Q13"/>
  <c r="M13"/>
  <c r="AJ15"/>
  <c r="AI15" s="1"/>
  <c r="V19"/>
  <c r="W19" s="1"/>
  <c r="B26"/>
  <c r="C26" s="1"/>
  <c r="S26"/>
  <c r="A27"/>
  <c r="Z26"/>
  <c r="L26"/>
  <c r="Y26"/>
  <c r="R26" l="1"/>
  <c r="D26" s="1"/>
  <c r="AE26" s="1"/>
  <c r="AA24"/>
  <c r="AG16"/>
  <c r="AK15"/>
  <c r="AE25"/>
  <c r="F25"/>
  <c r="U20"/>
  <c r="Y27"/>
  <c r="S27"/>
  <c r="Z27"/>
  <c r="B27"/>
  <c r="C27" s="1"/>
  <c r="L27"/>
  <c r="A28"/>
  <c r="R27" l="1"/>
  <c r="D27" s="1"/>
  <c r="F26"/>
  <c r="G26" s="1"/>
  <c r="AA26" s="1"/>
  <c r="V20"/>
  <c r="W20" s="1"/>
  <c r="G25"/>
  <c r="AC25" s="1"/>
  <c r="AH16"/>
  <c r="Q14"/>
  <c r="M14"/>
  <c r="A29"/>
  <c r="S28"/>
  <c r="B28"/>
  <c r="C28" s="1"/>
  <c r="L28"/>
  <c r="Y28"/>
  <c r="Z28"/>
  <c r="R28" l="1"/>
  <c r="D28" s="1"/>
  <c r="AE28" s="1"/>
  <c r="AA25"/>
  <c r="AE27"/>
  <c r="F27"/>
  <c r="AJ16"/>
  <c r="AI16" s="1"/>
  <c r="AG17" s="1"/>
  <c r="AC26"/>
  <c r="U21"/>
  <c r="L29"/>
  <c r="Y29"/>
  <c r="A30"/>
  <c r="S29"/>
  <c r="B29"/>
  <c r="C29" s="1"/>
  <c r="Z29"/>
  <c r="R29" l="1"/>
  <c r="D29" s="1"/>
  <c r="AE29" s="1"/>
  <c r="F28"/>
  <c r="G28" s="1"/>
  <c r="AA28" s="1"/>
  <c r="AH17"/>
  <c r="V21"/>
  <c r="W21" s="1"/>
  <c r="AK16"/>
  <c r="G27"/>
  <c r="AC27" s="1"/>
  <c r="S30"/>
  <c r="A31"/>
  <c r="B30"/>
  <c r="C30" s="1"/>
  <c r="L30"/>
  <c r="Y30"/>
  <c r="Z30"/>
  <c r="R30" l="1"/>
  <c r="D30" s="1"/>
  <c r="F29"/>
  <c r="G29" s="1"/>
  <c r="AA29" s="1"/>
  <c r="U22"/>
  <c r="V22" s="1"/>
  <c r="W22" s="1"/>
  <c r="AC28"/>
  <c r="M15"/>
  <c r="Q15"/>
  <c r="AJ17"/>
  <c r="AI17" s="1"/>
  <c r="AA27"/>
  <c r="B31"/>
  <c r="C31" s="1"/>
  <c r="L31"/>
  <c r="A32"/>
  <c r="Z31"/>
  <c r="Y31"/>
  <c r="S31"/>
  <c r="R31" l="1"/>
  <c r="D31" s="1"/>
  <c r="F31" s="1"/>
  <c r="U23"/>
  <c r="V23" s="1"/>
  <c r="W23" s="1"/>
  <c r="AG18"/>
  <c r="AK17"/>
  <c r="AE30"/>
  <c r="F30"/>
  <c r="AC29"/>
  <c r="S32"/>
  <c r="Y32"/>
  <c r="Z32"/>
  <c r="A33"/>
  <c r="L32"/>
  <c r="B32"/>
  <c r="C32" s="1"/>
  <c r="R32" l="1"/>
  <c r="D32" s="1"/>
  <c r="AE32" s="1"/>
  <c r="AE31"/>
  <c r="G30"/>
  <c r="AC30" s="1"/>
  <c r="AH18"/>
  <c r="U24"/>
  <c r="Q16"/>
  <c r="M16"/>
  <c r="G31"/>
  <c r="AA31" s="1"/>
  <c r="A34"/>
  <c r="Y33"/>
  <c r="Z33"/>
  <c r="L33"/>
  <c r="S33"/>
  <c r="B33"/>
  <c r="C33" s="1"/>
  <c r="R33" l="1"/>
  <c r="D33" s="1"/>
  <c r="F33" s="1"/>
  <c r="F32"/>
  <c r="G32" s="1"/>
  <c r="AC32" s="1"/>
  <c r="AC31"/>
  <c r="AA30"/>
  <c r="V24"/>
  <c r="W24" s="1"/>
  <c r="AJ18"/>
  <c r="AI18" s="1"/>
  <c r="L34"/>
  <c r="B34"/>
  <c r="C34" s="1"/>
  <c r="S34"/>
  <c r="Z34"/>
  <c r="Y34"/>
  <c r="A35"/>
  <c r="AE33" l="1"/>
  <c r="R34"/>
  <c r="R35" s="1"/>
  <c r="D35" s="1"/>
  <c r="AE35" s="1"/>
  <c r="U25"/>
  <c r="V25" s="1"/>
  <c r="W25" s="1"/>
  <c r="AG19"/>
  <c r="AK18"/>
  <c r="AA32"/>
  <c r="G33"/>
  <c r="AC33" s="1"/>
  <c r="B35"/>
  <c r="C35" s="1"/>
  <c r="Y35"/>
  <c r="L35"/>
  <c r="Z35"/>
  <c r="S35"/>
  <c r="A36"/>
  <c r="D34" l="1"/>
  <c r="AE34" s="1"/>
  <c r="AA33"/>
  <c r="AH19"/>
  <c r="F35"/>
  <c r="U26"/>
  <c r="M17"/>
  <c r="Q17"/>
  <c r="S36"/>
  <c r="A37"/>
  <c r="Z36"/>
  <c r="R36"/>
  <c r="D36" s="1"/>
  <c r="AE36" s="1"/>
  <c r="L36"/>
  <c r="B36"/>
  <c r="C36" s="1"/>
  <c r="Y36"/>
  <c r="F34" l="1"/>
  <c r="G34" s="1"/>
  <c r="AC34" s="1"/>
  <c r="F36"/>
  <c r="G36" s="1"/>
  <c r="AC36" s="1"/>
  <c r="V26"/>
  <c r="W26" s="1"/>
  <c r="G35"/>
  <c r="AA35" s="1"/>
  <c r="AJ19"/>
  <c r="AI19" s="1"/>
  <c r="B37"/>
  <c r="C37" s="1"/>
  <c r="S37"/>
  <c r="A38"/>
  <c r="L37"/>
  <c r="Y37"/>
  <c r="Z37"/>
  <c r="R37"/>
  <c r="D37" s="1"/>
  <c r="AC35" l="1"/>
  <c r="AA34"/>
  <c r="AE37"/>
  <c r="F37"/>
  <c r="AG20"/>
  <c r="AK19"/>
  <c r="U27"/>
  <c r="AA36"/>
  <c r="B38"/>
  <c r="C38" s="1"/>
  <c r="A39"/>
  <c r="L38"/>
  <c r="Z38"/>
  <c r="R38"/>
  <c r="D38" s="1"/>
  <c r="AE38" s="1"/>
  <c r="Y38"/>
  <c r="S38"/>
  <c r="F38" l="1"/>
  <c r="G38" s="1"/>
  <c r="AC38" s="1"/>
  <c r="V27"/>
  <c r="W27" s="1"/>
  <c r="Q18"/>
  <c r="M18"/>
  <c r="AH20"/>
  <c r="G37"/>
  <c r="AA37" s="1"/>
  <c r="Y39"/>
  <c r="S39"/>
  <c r="Z39"/>
  <c r="R39"/>
  <c r="D39" s="1"/>
  <c r="AE39" s="1"/>
  <c r="L39"/>
  <c r="B39"/>
  <c r="C39" s="1"/>
  <c r="A40"/>
  <c r="U28" l="1"/>
  <c r="V28" s="1"/>
  <c r="W28" s="1"/>
  <c r="AC37"/>
  <c r="F39"/>
  <c r="G39" s="1"/>
  <c r="AC39" s="1"/>
  <c r="AJ20"/>
  <c r="AI20" s="1"/>
  <c r="AA38"/>
  <c r="B40"/>
  <c r="C40" s="1"/>
  <c r="S40"/>
  <c r="A41"/>
  <c r="Z40"/>
  <c r="R40"/>
  <c r="D40" s="1"/>
  <c r="L40"/>
  <c r="Y40"/>
  <c r="U29" l="1"/>
  <c r="V29" s="1"/>
  <c r="W29" s="1"/>
  <c r="AE40"/>
  <c r="F40"/>
  <c r="AG21"/>
  <c r="AK20"/>
  <c r="AA39"/>
  <c r="L41"/>
  <c r="S41"/>
  <c r="Z41"/>
  <c r="R41"/>
  <c r="D41" s="1"/>
  <c r="B41"/>
  <c r="C41" s="1"/>
  <c r="Y41"/>
  <c r="A42"/>
  <c r="U30" l="1"/>
  <c r="V30" s="1"/>
  <c r="W30" s="1"/>
  <c r="AE41"/>
  <c r="F41"/>
  <c r="AH21"/>
  <c r="Q19"/>
  <c r="M19"/>
  <c r="G40"/>
  <c r="AA40" s="1"/>
  <c r="S42"/>
  <c r="L42"/>
  <c r="Z42"/>
  <c r="R42"/>
  <c r="D42" s="1"/>
  <c r="AE42" s="1"/>
  <c r="Y42"/>
  <c r="B42"/>
  <c r="C42" s="1"/>
  <c r="A43"/>
  <c r="F42" l="1"/>
  <c r="G42" s="1"/>
  <c r="AC42" s="1"/>
  <c r="U31"/>
  <c r="V31" s="1"/>
  <c r="W31" s="1"/>
  <c r="AJ21"/>
  <c r="AI21" s="1"/>
  <c r="AC40"/>
  <c r="G41"/>
  <c r="AA41" s="1"/>
  <c r="Y43"/>
  <c r="B43"/>
  <c r="C43" s="1"/>
  <c r="S43"/>
  <c r="Z43"/>
  <c r="L43"/>
  <c r="A44"/>
  <c r="R43"/>
  <c r="D43" s="1"/>
  <c r="AA42" l="1"/>
  <c r="U32"/>
  <c r="V32" s="1"/>
  <c r="W32" s="1"/>
  <c r="AC41"/>
  <c r="AG22"/>
  <c r="AK21"/>
  <c r="AE43"/>
  <c r="F43"/>
  <c r="L44"/>
  <c r="A45"/>
  <c r="S44"/>
  <c r="Y44"/>
  <c r="B44"/>
  <c r="C44" s="1"/>
  <c r="Z44"/>
  <c r="R44"/>
  <c r="D44" s="1"/>
  <c r="U33" l="1"/>
  <c r="V33" s="1"/>
  <c r="W33" s="1"/>
  <c r="AE44"/>
  <c r="F44"/>
  <c r="G43"/>
  <c r="AA43" s="1"/>
  <c r="AH22"/>
  <c r="Q20"/>
  <c r="M20"/>
  <c r="B45"/>
  <c r="C45" s="1"/>
  <c r="A46"/>
  <c r="L45"/>
  <c r="Z45"/>
  <c r="Y45"/>
  <c r="S45"/>
  <c r="R45"/>
  <c r="D45" s="1"/>
  <c r="AE45" s="1"/>
  <c r="U34" l="1"/>
  <c r="V34" s="1"/>
  <c r="W34" s="1"/>
  <c r="AJ22"/>
  <c r="AI22" s="1"/>
  <c r="AC43"/>
  <c r="G44"/>
  <c r="AC44" s="1"/>
  <c r="F45"/>
  <c r="L46"/>
  <c r="S46"/>
  <c r="A47"/>
  <c r="B46"/>
  <c r="C46" s="1"/>
  <c r="Y46"/>
  <c r="Z46"/>
  <c r="R46"/>
  <c r="D46" s="1"/>
  <c r="U35" l="1"/>
  <c r="V35" s="1"/>
  <c r="W35" s="1"/>
  <c r="AA44"/>
  <c r="AE46"/>
  <c r="F46"/>
  <c r="AG23"/>
  <c r="AK22"/>
  <c r="G45"/>
  <c r="AC45" s="1"/>
  <c r="L47"/>
  <c r="A48"/>
  <c r="R47"/>
  <c r="D47" s="1"/>
  <c r="B47"/>
  <c r="C47" s="1"/>
  <c r="S47"/>
  <c r="Y47"/>
  <c r="Z47"/>
  <c r="AA45" l="1"/>
  <c r="AE47"/>
  <c r="F47"/>
  <c r="M21"/>
  <c r="Q21"/>
  <c r="AH23"/>
  <c r="U36"/>
  <c r="G46"/>
  <c r="AA46" s="1"/>
  <c r="B48"/>
  <c r="C48" s="1"/>
  <c r="A49"/>
  <c r="S48"/>
  <c r="Y48"/>
  <c r="L48"/>
  <c r="R48"/>
  <c r="D48" s="1"/>
  <c r="AE48" s="1"/>
  <c r="Z48"/>
  <c r="AC46" l="1"/>
  <c r="V36"/>
  <c r="W36" s="1"/>
  <c r="AJ23"/>
  <c r="AI23" s="1"/>
  <c r="AG24" s="1"/>
  <c r="F48"/>
  <c r="G47"/>
  <c r="AA47" s="1"/>
  <c r="S49"/>
  <c r="L49"/>
  <c r="R49"/>
  <c r="D49" s="1"/>
  <c r="AE49" s="1"/>
  <c r="Y49"/>
  <c r="B49"/>
  <c r="C49" s="1"/>
  <c r="A50"/>
  <c r="Z49"/>
  <c r="AC47" l="1"/>
  <c r="AK23"/>
  <c r="M22" s="1"/>
  <c r="U37"/>
  <c r="F49"/>
  <c r="G49" s="1"/>
  <c r="AC49" s="1"/>
  <c r="AH24"/>
  <c r="G48"/>
  <c r="AA48" s="1"/>
  <c r="L50"/>
  <c r="B50"/>
  <c r="C50" s="1"/>
  <c r="S50"/>
  <c r="R50"/>
  <c r="D50" s="1"/>
  <c r="Y50"/>
  <c r="A51"/>
  <c r="Z50"/>
  <c r="Q22" l="1"/>
  <c r="V37"/>
  <c r="W37" s="1"/>
  <c r="AA49"/>
  <c r="AE50"/>
  <c r="F50"/>
  <c r="G50" s="1"/>
  <c r="AA50" s="1"/>
  <c r="AC48"/>
  <c r="AJ24"/>
  <c r="AI24" s="1"/>
  <c r="A52"/>
  <c r="B51"/>
  <c r="C51" s="1"/>
  <c r="Y51"/>
  <c r="Z51"/>
  <c r="L51"/>
  <c r="S51"/>
  <c r="R51"/>
  <c r="D51" s="1"/>
  <c r="U38" l="1"/>
  <c r="AG25"/>
  <c r="AK24"/>
  <c r="AE51"/>
  <c r="F51"/>
  <c r="AC50"/>
  <c r="S52"/>
  <c r="A53"/>
  <c r="R52"/>
  <c r="D52" s="1"/>
  <c r="Y52"/>
  <c r="L52"/>
  <c r="B52"/>
  <c r="C52" s="1"/>
  <c r="Z52"/>
  <c r="V38" l="1"/>
  <c r="W38" s="1"/>
  <c r="AE52"/>
  <c r="F52"/>
  <c r="AH25"/>
  <c r="G51"/>
  <c r="AA51" s="1"/>
  <c r="M23"/>
  <c r="Q23"/>
  <c r="S53"/>
  <c r="Y53"/>
  <c r="B53"/>
  <c r="C53" s="1"/>
  <c r="R53"/>
  <c r="D53" s="1"/>
  <c r="A54"/>
  <c r="L53"/>
  <c r="Z53"/>
  <c r="U39" l="1"/>
  <c r="AE53"/>
  <c r="F53"/>
  <c r="AJ25"/>
  <c r="AI25" s="1"/>
  <c r="AC51"/>
  <c r="G52"/>
  <c r="AA52" s="1"/>
  <c r="A55"/>
  <c r="S54"/>
  <c r="B54"/>
  <c r="C54" s="1"/>
  <c r="Z54"/>
  <c r="Y54"/>
  <c r="L54"/>
  <c r="R54"/>
  <c r="D54" s="1"/>
  <c r="V39" l="1"/>
  <c r="W39" s="1"/>
  <c r="AC52"/>
  <c r="AG26"/>
  <c r="AK25"/>
  <c r="AE54"/>
  <c r="F54"/>
  <c r="G53"/>
  <c r="AC53" s="1"/>
  <c r="B55"/>
  <c r="C55" s="1"/>
  <c r="S55"/>
  <c r="Y55"/>
  <c r="L55"/>
  <c r="A56"/>
  <c r="Z55"/>
  <c r="R55"/>
  <c r="D55" s="1"/>
  <c r="AE55" s="1"/>
  <c r="U40" l="1"/>
  <c r="AA53"/>
  <c r="AH26"/>
  <c r="F55"/>
  <c r="G54"/>
  <c r="AA54" s="1"/>
  <c r="Q24"/>
  <c r="M24"/>
  <c r="Y56"/>
  <c r="S56"/>
  <c r="L56"/>
  <c r="A57"/>
  <c r="B56"/>
  <c r="C56" s="1"/>
  <c r="Z56"/>
  <c r="R56"/>
  <c r="V40" l="1"/>
  <c r="W40" s="1"/>
  <c r="G55"/>
  <c r="AC55" s="1"/>
  <c r="AJ26"/>
  <c r="AI26" s="1"/>
  <c r="AG27" s="1"/>
  <c r="D56"/>
  <c r="AC54"/>
  <c r="L57"/>
  <c r="Y57"/>
  <c r="Z57"/>
  <c r="B57"/>
  <c r="C57" s="1"/>
  <c r="S57"/>
  <c r="A58"/>
  <c r="R57"/>
  <c r="D57" s="1"/>
  <c r="AA55" l="1"/>
  <c r="U41"/>
  <c r="AE57"/>
  <c r="F57"/>
  <c r="AK26"/>
  <c r="AE56"/>
  <c r="F56"/>
  <c r="AH27"/>
  <c r="B58"/>
  <c r="C58" s="1"/>
  <c r="A59"/>
  <c r="S58"/>
  <c r="R58"/>
  <c r="D58" s="1"/>
  <c r="AE58" s="1"/>
  <c r="Y58"/>
  <c r="L58"/>
  <c r="Z58"/>
  <c r="V41" l="1"/>
  <c r="W41" s="1"/>
  <c r="F58"/>
  <c r="G58" s="1"/>
  <c r="AA58" s="1"/>
  <c r="AJ27"/>
  <c r="AI27" s="1"/>
  <c r="G56"/>
  <c r="AC56" s="1"/>
  <c r="M25"/>
  <c r="Q25"/>
  <c r="G57"/>
  <c r="AA57" s="1"/>
  <c r="L59"/>
  <c r="A60"/>
  <c r="R59"/>
  <c r="D59" s="1"/>
  <c r="AE59" s="1"/>
  <c r="S59"/>
  <c r="B59"/>
  <c r="C59" s="1"/>
  <c r="Y59"/>
  <c r="Z59"/>
  <c r="AC58" l="1"/>
  <c r="U42"/>
  <c r="V42" s="1"/>
  <c r="W42" s="1"/>
  <c r="AC57"/>
  <c r="AA56"/>
  <c r="AG28"/>
  <c r="AK27"/>
  <c r="F59"/>
  <c r="L60"/>
  <c r="Y60"/>
  <c r="B60"/>
  <c r="C60" s="1"/>
  <c r="Z60"/>
  <c r="A61"/>
  <c r="S60"/>
  <c r="R60"/>
  <c r="U43" l="1"/>
  <c r="G59"/>
  <c r="AC59" s="1"/>
  <c r="AH28"/>
  <c r="D60"/>
  <c r="Q26"/>
  <c r="M26"/>
  <c r="Y61"/>
  <c r="S61"/>
  <c r="L61"/>
  <c r="A62"/>
  <c r="B61"/>
  <c r="C61" s="1"/>
  <c r="Z61"/>
  <c r="R61"/>
  <c r="D61" s="1"/>
  <c r="AA59" l="1"/>
  <c r="V43"/>
  <c r="W43" s="1"/>
  <c r="AE61"/>
  <c r="F61"/>
  <c r="AE60"/>
  <c r="F60"/>
  <c r="AJ28"/>
  <c r="AI28" s="1"/>
  <c r="AG29" s="1"/>
  <c r="B62"/>
  <c r="C62" s="1"/>
  <c r="S62"/>
  <c r="Y62"/>
  <c r="Z62"/>
  <c r="L62"/>
  <c r="A63"/>
  <c r="R62"/>
  <c r="U44" l="1"/>
  <c r="G60"/>
  <c r="AA60" s="1"/>
  <c r="AK28"/>
  <c r="D62"/>
  <c r="AH29"/>
  <c r="G61"/>
  <c r="AC61" s="1"/>
  <c r="L63"/>
  <c r="S63"/>
  <c r="R63"/>
  <c r="D63" s="1"/>
  <c r="AE63" s="1"/>
  <c r="B63"/>
  <c r="C63" s="1"/>
  <c r="Y63"/>
  <c r="A64"/>
  <c r="Z63"/>
  <c r="V44" l="1"/>
  <c r="W44" s="1"/>
  <c r="AC60"/>
  <c r="AJ29"/>
  <c r="AI29" s="1"/>
  <c r="AE62"/>
  <c r="F62"/>
  <c r="M27"/>
  <c r="Q27"/>
  <c r="F63"/>
  <c r="AA61"/>
  <c r="S64"/>
  <c r="A65"/>
  <c r="B64"/>
  <c r="C64" s="1"/>
  <c r="Y64"/>
  <c r="L64"/>
  <c r="Z64"/>
  <c r="R64"/>
  <c r="D64" s="1"/>
  <c r="U45" l="1"/>
  <c r="AE64"/>
  <c r="F64"/>
  <c r="AG30"/>
  <c r="AK29"/>
  <c r="G63"/>
  <c r="AC63" s="1"/>
  <c r="G62"/>
  <c r="AC62" s="1"/>
  <c r="L65"/>
  <c r="A66"/>
  <c r="Z65"/>
  <c r="B65"/>
  <c r="C65" s="1"/>
  <c r="S65"/>
  <c r="Y65"/>
  <c r="R65"/>
  <c r="D65" s="1"/>
  <c r="V45" l="1"/>
  <c r="W45" s="1"/>
  <c r="AA63"/>
  <c r="AE65"/>
  <c r="F65"/>
  <c r="AH30"/>
  <c r="AA62"/>
  <c r="Q28"/>
  <c r="M28"/>
  <c r="G64"/>
  <c r="AA64" s="1"/>
  <c r="B66"/>
  <c r="C66" s="1"/>
  <c r="A67"/>
  <c r="L66"/>
  <c r="R66"/>
  <c r="D66" s="1"/>
  <c r="AE66" s="1"/>
  <c r="S66"/>
  <c r="Y66"/>
  <c r="Z66"/>
  <c r="U46" l="1"/>
  <c r="AC64"/>
  <c r="F66"/>
  <c r="AJ30"/>
  <c r="AI30" s="1"/>
  <c r="G65"/>
  <c r="AA65" s="1"/>
  <c r="A68"/>
  <c r="B67"/>
  <c r="C67" s="1"/>
  <c r="S67"/>
  <c r="R67"/>
  <c r="D67" s="1"/>
  <c r="AE67" s="1"/>
  <c r="L67"/>
  <c r="Y67"/>
  <c r="Z67"/>
  <c r="V46" l="1"/>
  <c r="W46" s="1"/>
  <c r="AG31"/>
  <c r="AK30"/>
  <c r="G66"/>
  <c r="AC66" s="1"/>
  <c r="F67"/>
  <c r="AC65"/>
  <c r="Y68"/>
  <c r="S68"/>
  <c r="R68"/>
  <c r="D68" s="1"/>
  <c r="AE68" s="1"/>
  <c r="B68"/>
  <c r="C68" s="1"/>
  <c r="L68"/>
  <c r="A69"/>
  <c r="Z68"/>
  <c r="U47" l="1"/>
  <c r="V47" s="1"/>
  <c r="W47" s="1"/>
  <c r="AA66"/>
  <c r="G67"/>
  <c r="AC67" s="1"/>
  <c r="AH31"/>
  <c r="F68"/>
  <c r="M29"/>
  <c r="Q29"/>
  <c r="Y69"/>
  <c r="B69"/>
  <c r="C69" s="1"/>
  <c r="A70"/>
  <c r="L69"/>
  <c r="S69"/>
  <c r="Z69"/>
  <c r="R69"/>
  <c r="D69" s="1"/>
  <c r="U48" l="1"/>
  <c r="AA67"/>
  <c r="AE69"/>
  <c r="F69"/>
  <c r="G68"/>
  <c r="AC68" s="1"/>
  <c r="AJ31"/>
  <c r="AI31" s="1"/>
  <c r="Y70"/>
  <c r="A71"/>
  <c r="Z70"/>
  <c r="R70"/>
  <c r="S70"/>
  <c r="L70"/>
  <c r="B70"/>
  <c r="C70" s="1"/>
  <c r="V48" l="1"/>
  <c r="W48" s="1"/>
  <c r="AA68"/>
  <c r="AG32"/>
  <c r="AK31"/>
  <c r="D70"/>
  <c r="G69"/>
  <c r="AC69" s="1"/>
  <c r="B71"/>
  <c r="C71" s="1"/>
  <c r="S71"/>
  <c r="L71"/>
  <c r="A72"/>
  <c r="Y71"/>
  <c r="Z71"/>
  <c r="R71"/>
  <c r="U49" l="1"/>
  <c r="AE70"/>
  <c r="F70"/>
  <c r="AH32"/>
  <c r="AA69"/>
  <c r="D71"/>
  <c r="M30"/>
  <c r="Q30"/>
  <c r="L72"/>
  <c r="S72"/>
  <c r="Z72"/>
  <c r="A73"/>
  <c r="Y72"/>
  <c r="B72"/>
  <c r="C72" s="1"/>
  <c r="R72"/>
  <c r="D72" s="1"/>
  <c r="V49" l="1"/>
  <c r="W49" s="1"/>
  <c r="AE72"/>
  <c r="F72"/>
  <c r="AE71"/>
  <c r="F71"/>
  <c r="AJ32"/>
  <c r="AI32" s="1"/>
  <c r="G70"/>
  <c r="AC70" s="1"/>
  <c r="B73"/>
  <c r="C73" s="1"/>
  <c r="Y73"/>
  <c r="L73"/>
  <c r="R73"/>
  <c r="D73" s="1"/>
  <c r="AE73" s="1"/>
  <c r="A74"/>
  <c r="S73"/>
  <c r="Z73"/>
  <c r="U50" l="1"/>
  <c r="AG33"/>
  <c r="AK32"/>
  <c r="G71"/>
  <c r="AC71" s="1"/>
  <c r="F73"/>
  <c r="AA70"/>
  <c r="G72"/>
  <c r="AC72" s="1"/>
  <c r="S74"/>
  <c r="B74"/>
  <c r="C74" s="1"/>
  <c r="A75"/>
  <c r="Y74"/>
  <c r="L74"/>
  <c r="Z74"/>
  <c r="R74"/>
  <c r="D74" s="1"/>
  <c r="V50" l="1"/>
  <c r="W50" s="1"/>
  <c r="AA72"/>
  <c r="AE74"/>
  <c r="F74"/>
  <c r="G73"/>
  <c r="AA73" s="1"/>
  <c r="AH33"/>
  <c r="AA71"/>
  <c r="Q31"/>
  <c r="M31"/>
  <c r="S75"/>
  <c r="B75"/>
  <c r="C75" s="1"/>
  <c r="Y75"/>
  <c r="Z75"/>
  <c r="L75"/>
  <c r="A76"/>
  <c r="R75"/>
  <c r="D75" s="1"/>
  <c r="U51" l="1"/>
  <c r="AE75"/>
  <c r="F75"/>
  <c r="AC73"/>
  <c r="AJ33"/>
  <c r="AI33" s="1"/>
  <c r="G74"/>
  <c r="AC74" s="1"/>
  <c r="Y76"/>
  <c r="A77"/>
  <c r="Z76"/>
  <c r="R76"/>
  <c r="D76" s="1"/>
  <c r="AE76" s="1"/>
  <c r="B76"/>
  <c r="C76" s="1"/>
  <c r="S76"/>
  <c r="L76"/>
  <c r="V51" l="1"/>
  <c r="W51" s="1"/>
  <c r="AG34"/>
  <c r="AH34" s="1"/>
  <c r="AK33"/>
  <c r="M32" s="1"/>
  <c r="F76"/>
  <c r="G76" s="1"/>
  <c r="AC76" s="1"/>
  <c r="AA74"/>
  <c r="G75"/>
  <c r="AA75" s="1"/>
  <c r="A78"/>
  <c r="L77"/>
  <c r="B77"/>
  <c r="C77" s="1"/>
  <c r="Y77"/>
  <c r="S77"/>
  <c r="Z77"/>
  <c r="R77"/>
  <c r="D77" s="1"/>
  <c r="U52" l="1"/>
  <c r="Q32"/>
  <c r="AC75"/>
  <c r="AE77"/>
  <c r="F77"/>
  <c r="AA76"/>
  <c r="AJ34"/>
  <c r="AI34" s="1"/>
  <c r="AG35" s="1"/>
  <c r="A79"/>
  <c r="L78"/>
  <c r="Z78"/>
  <c r="R78"/>
  <c r="D78" s="1"/>
  <c r="AE78" s="1"/>
  <c r="B78"/>
  <c r="C78" s="1"/>
  <c r="S78"/>
  <c r="Y78"/>
  <c r="V52" l="1"/>
  <c r="W52" s="1"/>
  <c r="AH35"/>
  <c r="F78"/>
  <c r="AK34"/>
  <c r="G77"/>
  <c r="AC77" s="1"/>
  <c r="S79"/>
  <c r="Y79"/>
  <c r="Z79"/>
  <c r="A80"/>
  <c r="B79"/>
  <c r="C79" s="1"/>
  <c r="L79"/>
  <c r="R79"/>
  <c r="U53" l="1"/>
  <c r="AA77"/>
  <c r="G78"/>
  <c r="AA78" s="1"/>
  <c r="M33"/>
  <c r="Q33"/>
  <c r="D79"/>
  <c r="AJ35"/>
  <c r="AI35" s="1"/>
  <c r="L80"/>
  <c r="B80"/>
  <c r="C80" s="1"/>
  <c r="A81"/>
  <c r="Z80"/>
  <c r="S80"/>
  <c r="Y80"/>
  <c r="R80"/>
  <c r="D80" s="1"/>
  <c r="V53" l="1"/>
  <c r="W53" s="1"/>
  <c r="AC78"/>
  <c r="AE80"/>
  <c r="F80"/>
  <c r="AG36"/>
  <c r="AK35"/>
  <c r="AE79"/>
  <c r="F79"/>
  <c r="L81"/>
  <c r="B81"/>
  <c r="C81" s="1"/>
  <c r="A82"/>
  <c r="R81"/>
  <c r="D81" s="1"/>
  <c r="AE81" s="1"/>
  <c r="Y81"/>
  <c r="S81"/>
  <c r="Z81"/>
  <c r="U54" l="1"/>
  <c r="M34"/>
  <c r="Q34"/>
  <c r="G79"/>
  <c r="AC79" s="1"/>
  <c r="AH36"/>
  <c r="F81"/>
  <c r="G80"/>
  <c r="AA80" s="1"/>
  <c r="A83"/>
  <c r="B82"/>
  <c r="C82" s="1"/>
  <c r="L82"/>
  <c r="Z82"/>
  <c r="R82"/>
  <c r="D82" s="1"/>
  <c r="AE82" s="1"/>
  <c r="Y82"/>
  <c r="S82"/>
  <c r="V54" l="1"/>
  <c r="W54" s="1"/>
  <c r="AA79"/>
  <c r="AJ36"/>
  <c r="AI36" s="1"/>
  <c r="F82"/>
  <c r="AC80"/>
  <c r="G81"/>
  <c r="AA81" s="1"/>
  <c r="B83"/>
  <c r="C83" s="1"/>
  <c r="Y83"/>
  <c r="L83"/>
  <c r="A84"/>
  <c r="S83"/>
  <c r="Z83"/>
  <c r="R83"/>
  <c r="U55" l="1"/>
  <c r="AG37"/>
  <c r="AH37" s="1"/>
  <c r="AK36"/>
  <c r="M35" s="1"/>
  <c r="G82"/>
  <c r="AC82" s="1"/>
  <c r="AC81"/>
  <c r="D83"/>
  <c r="L84"/>
  <c r="S84"/>
  <c r="Z84"/>
  <c r="A85"/>
  <c r="B84"/>
  <c r="C84" s="1"/>
  <c r="Y84"/>
  <c r="R84"/>
  <c r="V55" l="1"/>
  <c r="W55" s="1"/>
  <c r="Q35"/>
  <c r="AE83"/>
  <c r="F83"/>
  <c r="D84"/>
  <c r="AA82"/>
  <c r="AJ37"/>
  <c r="AI37" s="1"/>
  <c r="AG38" s="1"/>
  <c r="B85"/>
  <c r="C85" s="1"/>
  <c r="Y85"/>
  <c r="S85"/>
  <c r="L85"/>
  <c r="A86"/>
  <c r="Z85"/>
  <c r="R85"/>
  <c r="D85" s="1"/>
  <c r="U56" l="1"/>
  <c r="V56" s="1"/>
  <c r="W56" s="1"/>
  <c r="AE85"/>
  <c r="F85"/>
  <c r="G83"/>
  <c r="AA83" s="1"/>
  <c r="AH38"/>
  <c r="AE84"/>
  <c r="F84"/>
  <c r="AK37"/>
  <c r="S86"/>
  <c r="A87"/>
  <c r="R86"/>
  <c r="D86" s="1"/>
  <c r="AE86" s="1"/>
  <c r="L86"/>
  <c r="Y86"/>
  <c r="B86"/>
  <c r="C86" s="1"/>
  <c r="Z86"/>
  <c r="U57" l="1"/>
  <c r="M36"/>
  <c r="Q36"/>
  <c r="AJ38"/>
  <c r="AI38" s="1"/>
  <c r="G84"/>
  <c r="AC84" s="1"/>
  <c r="F86"/>
  <c r="AC83"/>
  <c r="G85"/>
  <c r="AC85" s="1"/>
  <c r="S87"/>
  <c r="A88"/>
  <c r="B87"/>
  <c r="C87" s="1"/>
  <c r="L87"/>
  <c r="Y87"/>
  <c r="Z87"/>
  <c r="R87"/>
  <c r="D87" s="1"/>
  <c r="V57" l="1"/>
  <c r="W57" s="1"/>
  <c r="AE87"/>
  <c r="F87"/>
  <c r="G87" s="1"/>
  <c r="AC87" s="1"/>
  <c r="AG39"/>
  <c r="AK38"/>
  <c r="G86"/>
  <c r="AC86" s="1"/>
  <c r="AA85"/>
  <c r="AA84"/>
  <c r="S88"/>
  <c r="L88"/>
  <c r="R88"/>
  <c r="D88" s="1"/>
  <c r="AE88" s="1"/>
  <c r="B88"/>
  <c r="C88" s="1"/>
  <c r="Y88"/>
  <c r="A89"/>
  <c r="Z88"/>
  <c r="AA87" l="1"/>
  <c r="AA86"/>
  <c r="U58"/>
  <c r="AH39"/>
  <c r="F88"/>
  <c r="Q37"/>
  <c r="M37"/>
  <c r="L89"/>
  <c r="A90"/>
  <c r="B89"/>
  <c r="C89" s="1"/>
  <c r="Z89"/>
  <c r="R89"/>
  <c r="D89" s="1"/>
  <c r="S89"/>
  <c r="Y89"/>
  <c r="V58" l="1"/>
  <c r="W58" s="1"/>
  <c r="AE89"/>
  <c r="F89"/>
  <c r="AJ39"/>
  <c r="AI39" s="1"/>
  <c r="G88"/>
  <c r="AA88" s="1"/>
  <c r="B90"/>
  <c r="C90" s="1"/>
  <c r="A91"/>
  <c r="L90"/>
  <c r="S90"/>
  <c r="Y90"/>
  <c r="Z90"/>
  <c r="R90"/>
  <c r="U59" l="1"/>
  <c r="AC88"/>
  <c r="AG40"/>
  <c r="AK39"/>
  <c r="D90"/>
  <c r="G89"/>
  <c r="AC89" s="1"/>
  <c r="A92"/>
  <c r="S91"/>
  <c r="Z91"/>
  <c r="Y91"/>
  <c r="B91"/>
  <c r="C91" s="1"/>
  <c r="L91"/>
  <c r="R91"/>
  <c r="D91" s="1"/>
  <c r="V59" l="1"/>
  <c r="W59" s="1"/>
  <c r="AA89"/>
  <c r="AE91"/>
  <c r="F91"/>
  <c r="AE90"/>
  <c r="F90"/>
  <c r="AH40"/>
  <c r="Q38"/>
  <c r="M38"/>
  <c r="Y92"/>
  <c r="B92"/>
  <c r="C92" s="1"/>
  <c r="A93"/>
  <c r="Z92"/>
  <c r="S92"/>
  <c r="L92"/>
  <c r="R92"/>
  <c r="D92" s="1"/>
  <c r="U60" l="1"/>
  <c r="AE92"/>
  <c r="F92"/>
  <c r="G90"/>
  <c r="AC90" s="1"/>
  <c r="AJ40"/>
  <c r="AI40" s="1"/>
  <c r="AG41" s="1"/>
  <c r="G91"/>
  <c r="AC91" s="1"/>
  <c r="L93"/>
  <c r="Y93"/>
  <c r="Z93"/>
  <c r="R93"/>
  <c r="D93" s="1"/>
  <c r="AE93" s="1"/>
  <c r="A94"/>
  <c r="S93"/>
  <c r="B93"/>
  <c r="C93" s="1"/>
  <c r="V60" l="1"/>
  <c r="W60" s="1"/>
  <c r="AA90"/>
  <c r="AH41"/>
  <c r="AK40"/>
  <c r="F93"/>
  <c r="AA91"/>
  <c r="G92"/>
  <c r="AA92" s="1"/>
  <c r="A95"/>
  <c r="B94"/>
  <c r="C94" s="1"/>
  <c r="S94"/>
  <c r="R94"/>
  <c r="D94" s="1"/>
  <c r="AE94" s="1"/>
  <c r="L94"/>
  <c r="Y94"/>
  <c r="Z94"/>
  <c r="U61" l="1"/>
  <c r="V61" s="1"/>
  <c r="W61" s="1"/>
  <c r="G93"/>
  <c r="AC93" s="1"/>
  <c r="M39"/>
  <c r="Q39"/>
  <c r="AJ41"/>
  <c r="AI41" s="1"/>
  <c r="F94"/>
  <c r="AC92"/>
  <c r="B95"/>
  <c r="C95" s="1"/>
  <c r="A96"/>
  <c r="Y95"/>
  <c r="R95"/>
  <c r="D95" s="1"/>
  <c r="AE95" s="1"/>
  <c r="L95"/>
  <c r="S95"/>
  <c r="Z95"/>
  <c r="AA93" l="1"/>
  <c r="U62"/>
  <c r="F95"/>
  <c r="G95" s="1"/>
  <c r="AC95" s="1"/>
  <c r="AG42"/>
  <c r="AK41"/>
  <c r="G94"/>
  <c r="AC94" s="1"/>
  <c r="L96"/>
  <c r="B96"/>
  <c r="C96" s="1"/>
  <c r="A97"/>
  <c r="Z96"/>
  <c r="S96"/>
  <c r="Y96"/>
  <c r="R96"/>
  <c r="D96" s="1"/>
  <c r="AA94" l="1"/>
  <c r="V62"/>
  <c r="W62" s="1"/>
  <c r="AE96"/>
  <c r="F96"/>
  <c r="AH42"/>
  <c r="AA95"/>
  <c r="M40"/>
  <c r="Q40"/>
  <c r="A98"/>
  <c r="B97"/>
  <c r="C97" s="1"/>
  <c r="S97"/>
  <c r="Z97"/>
  <c r="R97"/>
  <c r="D97" s="1"/>
  <c r="AE97" s="1"/>
  <c r="Y97"/>
  <c r="L97"/>
  <c r="U63" l="1"/>
  <c r="F97"/>
  <c r="G97" s="1"/>
  <c r="AC97" s="1"/>
  <c r="AJ42"/>
  <c r="AI42" s="1"/>
  <c r="AG43" s="1"/>
  <c r="G96"/>
  <c r="AA96" s="1"/>
  <c r="B98"/>
  <c r="C98" s="1"/>
  <c r="S98"/>
  <c r="A99"/>
  <c r="Z98"/>
  <c r="R98"/>
  <c r="D98" s="1"/>
  <c r="AE98" s="1"/>
  <c r="L98"/>
  <c r="Y98"/>
  <c r="V63" l="1"/>
  <c r="W63" s="1"/>
  <c r="AA97"/>
  <c r="F98"/>
  <c r="AC96"/>
  <c r="AK42"/>
  <c r="AH43"/>
  <c r="Y99"/>
  <c r="B99"/>
  <c r="C99" s="1"/>
  <c r="S99"/>
  <c r="Z99"/>
  <c r="L99"/>
  <c r="A100"/>
  <c r="R99"/>
  <c r="D99" s="1"/>
  <c r="U64" l="1"/>
  <c r="G98"/>
  <c r="AC98" s="1"/>
  <c r="AE99"/>
  <c r="F99"/>
  <c r="Q41"/>
  <c r="M41"/>
  <c r="AJ43"/>
  <c r="AI43" s="1"/>
  <c r="A101"/>
  <c r="S100"/>
  <c r="Z100"/>
  <c r="R100"/>
  <c r="D100" s="1"/>
  <c r="L100"/>
  <c r="B100"/>
  <c r="C100" s="1"/>
  <c r="Y100"/>
  <c r="V64" l="1"/>
  <c r="W64" s="1"/>
  <c r="AA98"/>
  <c r="AE100"/>
  <c r="F100"/>
  <c r="AG44"/>
  <c r="AK43"/>
  <c r="G99"/>
  <c r="AA99" s="1"/>
  <c r="B101"/>
  <c r="C101" s="1"/>
  <c r="Y101"/>
  <c r="A102"/>
  <c r="Z101"/>
  <c r="R101"/>
  <c r="D101" s="1"/>
  <c r="AE101" s="1"/>
  <c r="L101"/>
  <c r="S101"/>
  <c r="U65" l="1"/>
  <c r="F101"/>
  <c r="G101" s="1"/>
  <c r="AA101" s="1"/>
  <c r="AC99"/>
  <c r="AH44"/>
  <c r="Q42"/>
  <c r="M42"/>
  <c r="G100"/>
  <c r="AA100" s="1"/>
  <c r="Y102"/>
  <c r="A103"/>
  <c r="S102"/>
  <c r="B102"/>
  <c r="C102" s="1"/>
  <c r="L102"/>
  <c r="Z102"/>
  <c r="R102"/>
  <c r="D102" s="1"/>
  <c r="AE102" s="1"/>
  <c r="V65" l="1"/>
  <c r="W65" s="1"/>
  <c r="AC100"/>
  <c r="AC101"/>
  <c r="AJ44"/>
  <c r="AI44" s="1"/>
  <c r="AG45" s="1"/>
  <c r="F102"/>
  <c r="A104"/>
  <c r="Y103"/>
  <c r="L103"/>
  <c r="S103"/>
  <c r="B103"/>
  <c r="C103" s="1"/>
  <c r="R103"/>
  <c r="Z103"/>
  <c r="D103" l="1"/>
  <c r="U66"/>
  <c r="V66" s="1"/>
  <c r="AH45"/>
  <c r="G102"/>
  <c r="AA102" s="1"/>
  <c r="AK44"/>
  <c r="R104"/>
  <c r="D104" s="1"/>
  <c r="AE104" s="1"/>
  <c r="L104"/>
  <c r="S104"/>
  <c r="Z104"/>
  <c r="B104"/>
  <c r="C104" s="1"/>
  <c r="A105"/>
  <c r="Y104"/>
  <c r="F104" l="1"/>
  <c r="G104" s="1"/>
  <c r="AA104" s="1"/>
  <c r="AE103"/>
  <c r="F103"/>
  <c r="W66"/>
  <c r="U67"/>
  <c r="V67" s="1"/>
  <c r="AC102"/>
  <c r="AJ45"/>
  <c r="AI45" s="1"/>
  <c r="M43"/>
  <c r="Q43"/>
  <c r="S105"/>
  <c r="L105"/>
  <c r="Y105"/>
  <c r="R105"/>
  <c r="D105" s="1"/>
  <c r="AE105" s="1"/>
  <c r="Z105"/>
  <c r="B105"/>
  <c r="C105" s="1"/>
  <c r="A106"/>
  <c r="AC104" l="1"/>
  <c r="G103"/>
  <c r="AC103" s="1"/>
  <c r="F105"/>
  <c r="W67"/>
  <c r="U68"/>
  <c r="V68" s="1"/>
  <c r="W68" s="1"/>
  <c r="AG46"/>
  <c r="AK45"/>
  <c r="L106"/>
  <c r="S106"/>
  <c r="Z106"/>
  <c r="B106"/>
  <c r="C106" s="1"/>
  <c r="Y106"/>
  <c r="A107"/>
  <c r="R106"/>
  <c r="AA103" l="1"/>
  <c r="D106"/>
  <c r="G105"/>
  <c r="AA105" s="1"/>
  <c r="U69"/>
  <c r="V69" s="1"/>
  <c r="AH46"/>
  <c r="Q44"/>
  <c r="M44"/>
  <c r="A108"/>
  <c r="Z107"/>
  <c r="B107"/>
  <c r="C107" s="1"/>
  <c r="R107"/>
  <c r="D107" s="1"/>
  <c r="AE107" s="1"/>
  <c r="Y107"/>
  <c r="S107"/>
  <c r="L107"/>
  <c r="AC105" l="1"/>
  <c r="F107"/>
  <c r="G107" s="1"/>
  <c r="AC107" s="1"/>
  <c r="AE106"/>
  <c r="F106"/>
  <c r="W69"/>
  <c r="U70"/>
  <c r="V70" s="1"/>
  <c r="W70" s="1"/>
  <c r="AJ46"/>
  <c r="AI46" s="1"/>
  <c r="L108"/>
  <c r="R108"/>
  <c r="D108" s="1"/>
  <c r="Z108"/>
  <c r="A109"/>
  <c r="B108"/>
  <c r="C108" s="1"/>
  <c r="S108"/>
  <c r="Y108"/>
  <c r="AA107" l="1"/>
  <c r="AE108"/>
  <c r="F108"/>
  <c r="G106"/>
  <c r="AA106" s="1"/>
  <c r="U71"/>
  <c r="V71" s="1"/>
  <c r="AG47"/>
  <c r="AK46"/>
  <c r="B109"/>
  <c r="C109" s="1"/>
  <c r="L109"/>
  <c r="R109"/>
  <c r="A110"/>
  <c r="Z109"/>
  <c r="S109"/>
  <c r="Y109"/>
  <c r="AC106" l="1"/>
  <c r="G108"/>
  <c r="AC108" s="1"/>
  <c r="D109"/>
  <c r="W71"/>
  <c r="U72"/>
  <c r="V72" s="1"/>
  <c r="W72" s="1"/>
  <c r="AH47"/>
  <c r="Q45"/>
  <c r="M45"/>
  <c r="Z110"/>
  <c r="S110"/>
  <c r="R110"/>
  <c r="D110" s="1"/>
  <c r="AE110" s="1"/>
  <c r="L110"/>
  <c r="A111"/>
  <c r="B110"/>
  <c r="C110" s="1"/>
  <c r="Y110"/>
  <c r="AA108" l="1"/>
  <c r="AE109"/>
  <c r="F109"/>
  <c r="F110"/>
  <c r="U73"/>
  <c r="AJ47"/>
  <c r="AI47" s="1"/>
  <c r="AG48" s="1"/>
  <c r="Y111"/>
  <c r="S111"/>
  <c r="R111"/>
  <c r="D111" s="1"/>
  <c r="L111"/>
  <c r="Z111"/>
  <c r="B111"/>
  <c r="C111" s="1"/>
  <c r="A112"/>
  <c r="AE111" l="1"/>
  <c r="F111"/>
  <c r="G109"/>
  <c r="AA109" s="1"/>
  <c r="G110"/>
  <c r="AA110" s="1"/>
  <c r="V73"/>
  <c r="W73" s="1"/>
  <c r="AK47"/>
  <c r="AH48"/>
  <c r="S112"/>
  <c r="L112"/>
  <c r="R112"/>
  <c r="B112"/>
  <c r="C112" s="1"/>
  <c r="Z112"/>
  <c r="Y112"/>
  <c r="A113"/>
  <c r="AC109" l="1"/>
  <c r="AC110"/>
  <c r="G111"/>
  <c r="AC111" s="1"/>
  <c r="D112"/>
  <c r="U74"/>
  <c r="V74" s="1"/>
  <c r="W74" s="1"/>
  <c r="AJ48"/>
  <c r="AI48" s="1"/>
  <c r="Q46"/>
  <c r="M46"/>
  <c r="L113"/>
  <c r="S113"/>
  <c r="Y113"/>
  <c r="A114"/>
  <c r="Z113"/>
  <c r="B113"/>
  <c r="C113" s="1"/>
  <c r="R113"/>
  <c r="D113" s="1"/>
  <c r="AE113" s="1"/>
  <c r="AA111" l="1"/>
  <c r="F113"/>
  <c r="AE112"/>
  <c r="F112"/>
  <c r="U75"/>
  <c r="V75" s="1"/>
  <c r="W75" s="1"/>
  <c r="AG49"/>
  <c r="AK48"/>
  <c r="Z114"/>
  <c r="R114"/>
  <c r="D114" s="1"/>
  <c r="AE114" s="1"/>
  <c r="L114"/>
  <c r="Y114"/>
  <c r="S114"/>
  <c r="B114"/>
  <c r="C114" s="1"/>
  <c r="A115"/>
  <c r="F114" l="1"/>
  <c r="G114" s="1"/>
  <c r="AA114" s="1"/>
  <c r="G112"/>
  <c r="AC112" s="1"/>
  <c r="G113"/>
  <c r="AA113" s="1"/>
  <c r="U76"/>
  <c r="V76" s="1"/>
  <c r="W76" s="1"/>
  <c r="AH49"/>
  <c r="M47"/>
  <c r="Q47"/>
  <c r="Z115"/>
  <c r="B115"/>
  <c r="C115" s="1"/>
  <c r="S115"/>
  <c r="Y115"/>
  <c r="A116"/>
  <c r="R115"/>
  <c r="D115" s="1"/>
  <c r="L115"/>
  <c r="AC113" l="1"/>
  <c r="AE115"/>
  <c r="F115"/>
  <c r="AC114"/>
  <c r="AA112"/>
  <c r="U77"/>
  <c r="V77" s="1"/>
  <c r="W77" s="1"/>
  <c r="AJ49"/>
  <c r="AI49" s="1"/>
  <c r="AG50" s="1"/>
  <c r="A117"/>
  <c r="Z116"/>
  <c r="L116"/>
  <c r="S116"/>
  <c r="B116"/>
  <c r="C116" s="1"/>
  <c r="R116"/>
  <c r="Y116"/>
  <c r="G115" l="1"/>
  <c r="AA115" s="1"/>
  <c r="D116"/>
  <c r="U78"/>
  <c r="V78" s="1"/>
  <c r="W78" s="1"/>
  <c r="AK49"/>
  <c r="AH50"/>
  <c r="Y117"/>
  <c r="B117"/>
  <c r="C117" s="1"/>
  <c r="Z117"/>
  <c r="A118"/>
  <c r="R117"/>
  <c r="D117" s="1"/>
  <c r="L117"/>
  <c r="S117"/>
  <c r="AE117" l="1"/>
  <c r="F117"/>
  <c r="AE116"/>
  <c r="F116"/>
  <c r="AC115"/>
  <c r="U79"/>
  <c r="V79" s="1"/>
  <c r="W79" s="1"/>
  <c r="AJ50"/>
  <c r="AI50" s="1"/>
  <c r="Q48"/>
  <c r="M48"/>
  <c r="L118"/>
  <c r="R118"/>
  <c r="D118" s="1"/>
  <c r="AE118" s="1"/>
  <c r="Z118"/>
  <c r="A119"/>
  <c r="B118"/>
  <c r="C118" s="1"/>
  <c r="S118"/>
  <c r="Y118"/>
  <c r="G117" l="1"/>
  <c r="AA117" s="1"/>
  <c r="G116"/>
  <c r="AC116" s="1"/>
  <c r="F118"/>
  <c r="U80"/>
  <c r="V80" s="1"/>
  <c r="W80" s="1"/>
  <c r="AG51"/>
  <c r="AK50"/>
  <c r="R119"/>
  <c r="D119" s="1"/>
  <c r="AE119" s="1"/>
  <c r="Z119"/>
  <c r="B119"/>
  <c r="C119" s="1"/>
  <c r="S119"/>
  <c r="L119"/>
  <c r="Y119"/>
  <c r="A120"/>
  <c r="AA116" l="1"/>
  <c r="G118"/>
  <c r="AA118" s="1"/>
  <c r="F119"/>
  <c r="AC117"/>
  <c r="U81"/>
  <c r="V81" s="1"/>
  <c r="W81" s="1"/>
  <c r="AH51"/>
  <c r="M49"/>
  <c r="Q49"/>
  <c r="S120"/>
  <c r="L120"/>
  <c r="Z120"/>
  <c r="A121"/>
  <c r="Y120"/>
  <c r="R120"/>
  <c r="B120"/>
  <c r="C120" s="1"/>
  <c r="AC118" l="1"/>
  <c r="D120"/>
  <c r="G119"/>
  <c r="AA119" s="1"/>
  <c r="U82"/>
  <c r="V82" s="1"/>
  <c r="W82" s="1"/>
  <c r="AJ51"/>
  <c r="AI51" s="1"/>
  <c r="AG52" s="1"/>
  <c r="Z121"/>
  <c r="A122"/>
  <c r="R121"/>
  <c r="D121" s="1"/>
  <c r="AE121" s="1"/>
  <c r="B121"/>
  <c r="C121" s="1"/>
  <c r="Y121"/>
  <c r="L121"/>
  <c r="S121"/>
  <c r="F121" l="1"/>
  <c r="AE120"/>
  <c r="F120"/>
  <c r="AC119"/>
  <c r="U83"/>
  <c r="V83" s="1"/>
  <c r="W83" s="1"/>
  <c r="AK51"/>
  <c r="AH52"/>
  <c r="L122"/>
  <c r="A123"/>
  <c r="Y122"/>
  <c r="B122"/>
  <c r="C122" s="1"/>
  <c r="R122"/>
  <c r="D122" s="1"/>
  <c r="AE122" s="1"/>
  <c r="S122"/>
  <c r="Z122"/>
  <c r="G120" l="1"/>
  <c r="AC120" s="1"/>
  <c r="F122"/>
  <c r="G121"/>
  <c r="AC121" s="1"/>
  <c r="U84"/>
  <c r="V84" s="1"/>
  <c r="W84" s="1"/>
  <c r="AJ52"/>
  <c r="AI52" s="1"/>
  <c r="M50"/>
  <c r="Q50"/>
  <c r="Y123"/>
  <c r="L123"/>
  <c r="R123"/>
  <c r="D123" s="1"/>
  <c r="B123"/>
  <c r="C123" s="1"/>
  <c r="Z123"/>
  <c r="S123"/>
  <c r="A124"/>
  <c r="AA121" l="1"/>
  <c r="AA120"/>
  <c r="AE123"/>
  <c r="F123"/>
  <c r="G122"/>
  <c r="AA122" s="1"/>
  <c r="AG53"/>
  <c r="AK52"/>
  <c r="U85"/>
  <c r="Y124"/>
  <c r="L124"/>
  <c r="A125"/>
  <c r="B124"/>
  <c r="C124" s="1"/>
  <c r="Z124"/>
  <c r="R124"/>
  <c r="D124" s="1"/>
  <c r="S124"/>
  <c r="AC122" l="1"/>
  <c r="AE124"/>
  <c r="F124"/>
  <c r="G123"/>
  <c r="AA123" s="1"/>
  <c r="AH53"/>
  <c r="V85"/>
  <c r="W85" s="1"/>
  <c r="M51"/>
  <c r="Q51"/>
  <c r="Y125"/>
  <c r="S125"/>
  <c r="B125"/>
  <c r="C125" s="1"/>
  <c r="Z125"/>
  <c r="L125"/>
  <c r="R125"/>
  <c r="A126"/>
  <c r="D125" l="1"/>
  <c r="AC123"/>
  <c r="G124"/>
  <c r="AC124" s="1"/>
  <c r="U86"/>
  <c r="V86" s="1"/>
  <c r="W86" s="1"/>
  <c r="AJ53"/>
  <c r="AI53" s="1"/>
  <c r="Y126"/>
  <c r="L126"/>
  <c r="B126"/>
  <c r="C126" s="1"/>
  <c r="S126"/>
  <c r="R126"/>
  <c r="D126" s="1"/>
  <c r="Z126"/>
  <c r="A127"/>
  <c r="AA124" l="1"/>
  <c r="AE126"/>
  <c r="F126"/>
  <c r="G126" s="1"/>
  <c r="AE125"/>
  <c r="F125"/>
  <c r="AG54"/>
  <c r="AK53"/>
  <c r="U87"/>
  <c r="F127"/>
  <c r="Q127"/>
  <c r="W127"/>
  <c r="D127"/>
  <c r="AE127" s="1"/>
  <c r="AK128"/>
  <c r="AI128"/>
  <c r="AC127"/>
  <c r="M127"/>
  <c r="E127"/>
  <c r="AA127"/>
  <c r="L127"/>
  <c r="G127"/>
  <c r="AG128"/>
  <c r="AJ128"/>
  <c r="A128"/>
  <c r="R127"/>
  <c r="U127"/>
  <c r="Y127"/>
  <c r="V127"/>
  <c r="B127"/>
  <c r="S127"/>
  <c r="C127"/>
  <c r="AH128"/>
  <c r="Z127"/>
  <c r="N127"/>
  <c r="AC126" l="1"/>
  <c r="AA126"/>
  <c r="G125"/>
  <c r="AC125" s="1"/>
  <c r="V87"/>
  <c r="W87" s="1"/>
  <c r="AH54"/>
  <c r="M52"/>
  <c r="Q52"/>
  <c r="Y128"/>
  <c r="AK129"/>
  <c r="Z128"/>
  <c r="AC128"/>
  <c r="AI129"/>
  <c r="C128"/>
  <c r="W128"/>
  <c r="AJ129"/>
  <c r="R128"/>
  <c r="L128"/>
  <c r="E128"/>
  <c r="M128"/>
  <c r="U128"/>
  <c r="AA128"/>
  <c r="AG129"/>
  <c r="Q128"/>
  <c r="A129"/>
  <c r="D128"/>
  <c r="AE128" s="1"/>
  <c r="N128"/>
  <c r="G128"/>
  <c r="S128"/>
  <c r="B128"/>
  <c r="AH129"/>
  <c r="V128"/>
  <c r="F128"/>
  <c r="AA125" l="1"/>
  <c r="U88"/>
  <c r="V88" s="1"/>
  <c r="W88" s="1"/>
  <c r="AJ54"/>
  <c r="AI54" s="1"/>
  <c r="AG130"/>
  <c r="C129"/>
  <c r="V129"/>
  <c r="AK130"/>
  <c r="AJ130"/>
  <c r="R129"/>
  <c r="L129"/>
  <c r="S129"/>
  <c r="A130"/>
  <c r="N129"/>
  <c r="AA129"/>
  <c r="B129"/>
  <c r="AC129"/>
  <c r="AI130"/>
  <c r="U129"/>
  <c r="D129"/>
  <c r="AE129" s="1"/>
  <c r="Q129"/>
  <c r="E129"/>
  <c r="AH130"/>
  <c r="Y129"/>
  <c r="G129"/>
  <c r="F129"/>
  <c r="Z129"/>
  <c r="W129"/>
  <c r="M129"/>
  <c r="U89" l="1"/>
  <c r="V89" s="1"/>
  <c r="W89" s="1"/>
  <c r="AG55"/>
  <c r="AK54"/>
  <c r="AI131"/>
  <c r="M130"/>
  <c r="A131"/>
  <c r="N130"/>
  <c r="Y130"/>
  <c r="G130"/>
  <c r="F130"/>
  <c r="AK131"/>
  <c r="B130"/>
  <c r="E130"/>
  <c r="S130"/>
  <c r="AH131"/>
  <c r="AC130"/>
  <c r="AJ131"/>
  <c r="L130"/>
  <c r="AG131"/>
  <c r="V130"/>
  <c r="C130"/>
  <c r="Q130"/>
  <c r="D130"/>
  <c r="AE130" s="1"/>
  <c r="AA130"/>
  <c r="R130"/>
  <c r="U130"/>
  <c r="W130"/>
  <c r="Z130"/>
  <c r="U90" l="1"/>
  <c r="V90" s="1"/>
  <c r="W90" s="1"/>
  <c r="AH55"/>
  <c r="Q53"/>
  <c r="M53"/>
  <c r="Z131"/>
  <c r="G131"/>
  <c r="D131"/>
  <c r="AE131" s="1"/>
  <c r="N131"/>
  <c r="AI132"/>
  <c r="AJ132"/>
  <c r="E131"/>
  <c r="S131"/>
  <c r="AG132"/>
  <c r="F131"/>
  <c r="AC131"/>
  <c r="Y131"/>
  <c r="A132"/>
  <c r="AK132"/>
  <c r="Q131"/>
  <c r="V131"/>
  <c r="W131"/>
  <c r="B131"/>
  <c r="AA131"/>
  <c r="U131"/>
  <c r="C131"/>
  <c r="R131"/>
  <c r="L131"/>
  <c r="AH132"/>
  <c r="M131"/>
  <c r="U91" l="1"/>
  <c r="V91" s="1"/>
  <c r="W91" s="1"/>
  <c r="AJ55"/>
  <c r="AI55" s="1"/>
  <c r="U132"/>
  <c r="V132"/>
  <c r="AJ133"/>
  <c r="N132"/>
  <c r="AA132"/>
  <c r="M132"/>
  <c r="C132"/>
  <c r="AI133"/>
  <c r="Q132"/>
  <c r="AH133"/>
  <c r="D132"/>
  <c r="AE132" s="1"/>
  <c r="S132"/>
  <c r="AC132"/>
  <c r="E132"/>
  <c r="Y132"/>
  <c r="B132"/>
  <c r="G132"/>
  <c r="F132"/>
  <c r="Z132"/>
  <c r="AG133"/>
  <c r="AK133"/>
  <c r="R132"/>
  <c r="L132"/>
  <c r="A133"/>
  <c r="W132"/>
  <c r="U92" l="1"/>
  <c r="V92" s="1"/>
  <c r="W92" s="1"/>
  <c r="AG56"/>
  <c r="AK55"/>
  <c r="Y133"/>
  <c r="B133"/>
  <c r="L133"/>
  <c r="AJ134"/>
  <c r="R133"/>
  <c r="F133"/>
  <c r="W133"/>
  <c r="A134"/>
  <c r="V133"/>
  <c r="AA133"/>
  <c r="D133"/>
  <c r="AE133" s="1"/>
  <c r="S133"/>
  <c r="N133"/>
  <c r="G133"/>
  <c r="AI134"/>
  <c r="AH134"/>
  <c r="E133"/>
  <c r="U133"/>
  <c r="C133"/>
  <c r="M133"/>
  <c r="Q133"/>
  <c r="Z133"/>
  <c r="AC133"/>
  <c r="AG134"/>
  <c r="AK134"/>
  <c r="U93" l="1"/>
  <c r="V93" s="1"/>
  <c r="W93" s="1"/>
  <c r="AH56"/>
  <c r="Q54"/>
  <c r="M54"/>
  <c r="G134"/>
  <c r="R134"/>
  <c r="D134"/>
  <c r="AE134" s="1"/>
  <c r="AA134"/>
  <c r="AC134"/>
  <c r="AK135"/>
  <c r="A135"/>
  <c r="Z134"/>
  <c r="F134"/>
  <c r="N134"/>
  <c r="V134"/>
  <c r="U134"/>
  <c r="W134"/>
  <c r="M134"/>
  <c r="L134"/>
  <c r="B134"/>
  <c r="AJ135"/>
  <c r="AI135"/>
  <c r="AH135"/>
  <c r="AG135"/>
  <c r="Y134"/>
  <c r="E134"/>
  <c r="Q134"/>
  <c r="C134"/>
  <c r="S134"/>
  <c r="U94" l="1"/>
  <c r="V94" s="1"/>
  <c r="W94" s="1"/>
  <c r="AJ56"/>
  <c r="AI56" s="1"/>
  <c r="AG57" s="1"/>
  <c r="AH136"/>
  <c r="G135"/>
  <c r="AK136"/>
  <c r="W135"/>
  <c r="F135"/>
  <c r="AJ136"/>
  <c r="AC135"/>
  <c r="AA135"/>
  <c r="N135"/>
  <c r="B135"/>
  <c r="C135"/>
  <c r="D135"/>
  <c r="AE135" s="1"/>
  <c r="Y135"/>
  <c r="V135"/>
  <c r="S135"/>
  <c r="U135"/>
  <c r="AG136"/>
  <c r="A136"/>
  <c r="Z135"/>
  <c r="E135"/>
  <c r="Q135"/>
  <c r="R135"/>
  <c r="AI136"/>
  <c r="L135"/>
  <c r="M135"/>
  <c r="U95" l="1"/>
  <c r="V95" s="1"/>
  <c r="W95" s="1"/>
  <c r="AK56"/>
  <c r="AH57"/>
  <c r="Q136"/>
  <c r="W136"/>
  <c r="AK137"/>
  <c r="AA136"/>
  <c r="AC136"/>
  <c r="S136"/>
  <c r="U136"/>
  <c r="R136"/>
  <c r="L136"/>
  <c r="M136"/>
  <c r="A137"/>
  <c r="AG137"/>
  <c r="F136"/>
  <c r="AJ137"/>
  <c r="Y136"/>
  <c r="B136"/>
  <c r="AH137"/>
  <c r="N136"/>
  <c r="D136"/>
  <c r="AE136" s="1"/>
  <c r="E136"/>
  <c r="Z136"/>
  <c r="AI137"/>
  <c r="V136"/>
  <c r="G136"/>
  <c r="C136"/>
  <c r="U96" l="1"/>
  <c r="V96" s="1"/>
  <c r="W96" s="1"/>
  <c r="AJ57"/>
  <c r="AI57" s="1"/>
  <c r="AG58" s="1"/>
  <c r="Q55"/>
  <c r="M55"/>
  <c r="D137"/>
  <c r="AE137" s="1"/>
  <c r="S137"/>
  <c r="AC137"/>
  <c r="AG138"/>
  <c r="L137"/>
  <c r="AI138"/>
  <c r="G137"/>
  <c r="E137"/>
  <c r="AH138"/>
  <c r="C137"/>
  <c r="R137"/>
  <c r="Q137"/>
  <c r="A138"/>
  <c r="F137"/>
  <c r="M137"/>
  <c r="AJ138"/>
  <c r="W137"/>
  <c r="Z137"/>
  <c r="B137"/>
  <c r="AA137"/>
  <c r="N137"/>
  <c r="U137"/>
  <c r="Y137"/>
  <c r="V137"/>
  <c r="AK138"/>
  <c r="U97" l="1"/>
  <c r="AK57"/>
  <c r="AH58"/>
  <c r="AI139"/>
  <c r="S138"/>
  <c r="AC138"/>
  <c r="F138"/>
  <c r="AA138"/>
  <c r="E138"/>
  <c r="M138"/>
  <c r="B138"/>
  <c r="A139"/>
  <c r="U138"/>
  <c r="AH139"/>
  <c r="W138"/>
  <c r="G138"/>
  <c r="C138"/>
  <c r="L138"/>
  <c r="AG139"/>
  <c r="N138"/>
  <c r="AK139"/>
  <c r="R138"/>
  <c r="Q138"/>
  <c r="Y138"/>
  <c r="AJ139"/>
  <c r="D138"/>
  <c r="AE138" s="1"/>
  <c r="Z138"/>
  <c r="V138"/>
  <c r="AJ58" l="1"/>
  <c r="AI58" s="1"/>
  <c r="AG59" s="1"/>
  <c r="M56"/>
  <c r="Q56"/>
  <c r="V97"/>
  <c r="W97" s="1"/>
  <c r="E139"/>
  <c r="AC139"/>
  <c r="F139"/>
  <c r="S139"/>
  <c r="AG140"/>
  <c r="A140"/>
  <c r="W139"/>
  <c r="R139"/>
  <c r="D139"/>
  <c r="AE139" s="1"/>
  <c r="Y139"/>
  <c r="C139"/>
  <c r="AH140"/>
  <c r="L139"/>
  <c r="AJ140"/>
  <c r="B139"/>
  <c r="Z139"/>
  <c r="AI140"/>
  <c r="V139"/>
  <c r="AA139"/>
  <c r="U139"/>
  <c r="Q139"/>
  <c r="AK140"/>
  <c r="N139"/>
  <c r="G139"/>
  <c r="M139"/>
  <c r="U98" l="1"/>
  <c r="AK58"/>
  <c r="AH59"/>
  <c r="Q140"/>
  <c r="AC140"/>
  <c r="Z140"/>
  <c r="AH141"/>
  <c r="C140"/>
  <c r="E140"/>
  <c r="S140"/>
  <c r="G140"/>
  <c r="W140"/>
  <c r="AK141"/>
  <c r="V140"/>
  <c r="Y140"/>
  <c r="AI141"/>
  <c r="AJ141"/>
  <c r="U140"/>
  <c r="AA140"/>
  <c r="A141"/>
  <c r="N140"/>
  <c r="L140"/>
  <c r="AG141"/>
  <c r="B140"/>
  <c r="M140"/>
  <c r="D140"/>
  <c r="AE140" s="1"/>
  <c r="R140"/>
  <c r="F140"/>
  <c r="AJ59" l="1"/>
  <c r="AI59" s="1"/>
  <c r="AG60" s="1"/>
  <c r="Q57"/>
  <c r="M57"/>
  <c r="V98"/>
  <c r="W98" s="1"/>
  <c r="E141"/>
  <c r="F141"/>
  <c r="AG142"/>
  <c r="V141"/>
  <c r="W141"/>
  <c r="Y141"/>
  <c r="Q141"/>
  <c r="G141"/>
  <c r="AA141"/>
  <c r="N141"/>
  <c r="D141"/>
  <c r="AE141" s="1"/>
  <c r="A142"/>
  <c r="AC141"/>
  <c r="S141"/>
  <c r="AH142"/>
  <c r="Z141"/>
  <c r="AI142"/>
  <c r="B141"/>
  <c r="AJ142"/>
  <c r="R141"/>
  <c r="U141"/>
  <c r="C141"/>
  <c r="L141"/>
  <c r="AK142"/>
  <c r="M141"/>
  <c r="U99" l="1"/>
  <c r="AK59"/>
  <c r="AH60"/>
  <c r="F142"/>
  <c r="AG143"/>
  <c r="V142"/>
  <c r="B142"/>
  <c r="D142"/>
  <c r="AE142" s="1"/>
  <c r="AJ143"/>
  <c r="AH143"/>
  <c r="U142"/>
  <c r="AC142"/>
  <c r="G142"/>
  <c r="AK143"/>
  <c r="AA142"/>
  <c r="S142"/>
  <c r="AI143"/>
  <c r="Y142"/>
  <c r="L142"/>
  <c r="Z142"/>
  <c r="W142"/>
  <c r="N142"/>
  <c r="M142"/>
  <c r="C142"/>
  <c r="Q142"/>
  <c r="R142"/>
  <c r="E142"/>
  <c r="A143"/>
  <c r="AJ60" l="1"/>
  <c r="AI60" s="1"/>
  <c r="AG61" s="1"/>
  <c r="Q58"/>
  <c r="M58"/>
  <c r="V99"/>
  <c r="W99" s="1"/>
  <c r="V143"/>
  <c r="F143"/>
  <c r="AJ144"/>
  <c r="R143"/>
  <c r="N143"/>
  <c r="C143"/>
  <c r="Z143"/>
  <c r="AG144"/>
  <c r="AA143"/>
  <c r="S143"/>
  <c r="AC143"/>
  <c r="E143"/>
  <c r="AH144"/>
  <c r="D143"/>
  <c r="AE143" s="1"/>
  <c r="L143"/>
  <c r="AK144"/>
  <c r="M143"/>
  <c r="AI144"/>
  <c r="W143"/>
  <c r="A144"/>
  <c r="U143"/>
  <c r="Y143"/>
  <c r="Q143"/>
  <c r="B143"/>
  <c r="G143"/>
  <c r="AK60" l="1"/>
  <c r="Q59" s="1"/>
  <c r="AH61"/>
  <c r="U100"/>
  <c r="G144"/>
  <c r="U144"/>
  <c r="D144"/>
  <c r="AE144" s="1"/>
  <c r="AH145"/>
  <c r="AJ145"/>
  <c r="AI145"/>
  <c r="F144"/>
  <c r="Q144"/>
  <c r="V144"/>
  <c r="L144"/>
  <c r="S144"/>
  <c r="N144"/>
  <c r="AG145"/>
  <c r="AC144"/>
  <c r="Y144"/>
  <c r="AA144"/>
  <c r="R144"/>
  <c r="C144"/>
  <c r="A145"/>
  <c r="E144"/>
  <c r="Z144"/>
  <c r="M144"/>
  <c r="B144"/>
  <c r="W144"/>
  <c r="AK145"/>
  <c r="M59" l="1"/>
  <c r="V100"/>
  <c r="W100" s="1"/>
  <c r="AJ61"/>
  <c r="AI61" s="1"/>
  <c r="L145"/>
  <c r="Q145"/>
  <c r="C145"/>
  <c r="R145"/>
  <c r="AJ146"/>
  <c r="B145"/>
  <c r="U145"/>
  <c r="G145"/>
  <c r="AC145"/>
  <c r="AA145"/>
  <c r="E145"/>
  <c r="AI146"/>
  <c r="A146"/>
  <c r="N145"/>
  <c r="Z145"/>
  <c r="F145"/>
  <c r="AG146"/>
  <c r="M145"/>
  <c r="AK146"/>
  <c r="W145"/>
  <c r="D145"/>
  <c r="AE145" s="1"/>
  <c r="Y145"/>
  <c r="AH146"/>
  <c r="S145"/>
  <c r="V145"/>
  <c r="AG62" l="1"/>
  <c r="AK61"/>
  <c r="U101"/>
  <c r="R146"/>
  <c r="F146"/>
  <c r="E146"/>
  <c r="AI147"/>
  <c r="Q146"/>
  <c r="D146"/>
  <c r="AE146" s="1"/>
  <c r="C146"/>
  <c r="A147"/>
  <c r="W146"/>
  <c r="AH147"/>
  <c r="N146"/>
  <c r="AG147"/>
  <c r="AJ147"/>
  <c r="U146"/>
  <c r="S146"/>
  <c r="AK147"/>
  <c r="V146"/>
  <c r="Y146"/>
  <c r="M146"/>
  <c r="AC146"/>
  <c r="AA146"/>
  <c r="B146"/>
  <c r="L146"/>
  <c r="G146"/>
  <c r="Z146"/>
  <c r="M60" l="1"/>
  <c r="Q60"/>
  <c r="V101"/>
  <c r="W101" s="1"/>
  <c r="AH62"/>
  <c r="L147"/>
  <c r="AI148"/>
  <c r="AC147"/>
  <c r="R147"/>
  <c r="V147"/>
  <c r="M147"/>
  <c r="E147"/>
  <c r="G147"/>
  <c r="C147"/>
  <c r="Y147"/>
  <c r="Q147"/>
  <c r="W147"/>
  <c r="F147"/>
  <c r="A148"/>
  <c r="D147"/>
  <c r="AE147" s="1"/>
  <c r="U147"/>
  <c r="AK148"/>
  <c r="Z147"/>
  <c r="AA147"/>
  <c r="B147"/>
  <c r="AH148"/>
  <c r="AG148"/>
  <c r="S147"/>
  <c r="N147"/>
  <c r="AJ148"/>
  <c r="U102" l="1"/>
  <c r="AJ62"/>
  <c r="AI62" s="1"/>
  <c r="S148"/>
  <c r="U148"/>
  <c r="Y148"/>
  <c r="V148"/>
  <c r="W148"/>
  <c r="AK149"/>
  <c r="B148"/>
  <c r="F148"/>
  <c r="AI149"/>
  <c r="AH149"/>
  <c r="A149"/>
  <c r="AC148"/>
  <c r="D148"/>
  <c r="AE148" s="1"/>
  <c r="R148"/>
  <c r="L148"/>
  <c r="Z148"/>
  <c r="C148"/>
  <c r="N148"/>
  <c r="AG149"/>
  <c r="M148"/>
  <c r="G148"/>
  <c r="AA148"/>
  <c r="Q148"/>
  <c r="AJ149"/>
  <c r="E148"/>
  <c r="V102" l="1"/>
  <c r="W102" s="1"/>
  <c r="AG63"/>
  <c r="AK62"/>
  <c r="L149"/>
  <c r="U149"/>
  <c r="V149"/>
  <c r="Z149"/>
  <c r="B149"/>
  <c r="Q149"/>
  <c r="AC149"/>
  <c r="A150"/>
  <c r="AG150"/>
  <c r="AJ150"/>
  <c r="AI150"/>
  <c r="AH150"/>
  <c r="D149"/>
  <c r="AE149" s="1"/>
  <c r="M149"/>
  <c r="E149"/>
  <c r="AA149"/>
  <c r="C149"/>
  <c r="AK150"/>
  <c r="N149"/>
  <c r="R149"/>
  <c r="G149"/>
  <c r="S149"/>
  <c r="W149"/>
  <c r="F149"/>
  <c r="Y149"/>
  <c r="U103" l="1"/>
  <c r="V103" s="1"/>
  <c r="W103" s="1"/>
  <c r="Q61"/>
  <c r="M61"/>
  <c r="AH63"/>
  <c r="S150"/>
  <c r="AC150"/>
  <c r="U150"/>
  <c r="G150"/>
  <c r="Y150"/>
  <c r="Q150"/>
  <c r="AI151"/>
  <c r="AJ151"/>
  <c r="W150"/>
  <c r="AG151"/>
  <c r="V150"/>
  <c r="E150"/>
  <c r="C150"/>
  <c r="AK151"/>
  <c r="R150"/>
  <c r="M150"/>
  <c r="AA150"/>
  <c r="A151"/>
  <c r="Z150"/>
  <c r="B150"/>
  <c r="F150"/>
  <c r="N150"/>
  <c r="AH151"/>
  <c r="D150"/>
  <c r="AE150" s="1"/>
  <c r="L150"/>
  <c r="U104" l="1"/>
  <c r="V104" s="1"/>
  <c r="W104" s="1"/>
  <c r="AJ63"/>
  <c r="AI63" s="1"/>
  <c r="E151"/>
  <c r="AJ152"/>
  <c r="AA151"/>
  <c r="AG152"/>
  <c r="Y151"/>
  <c r="AK152"/>
  <c r="AI152"/>
  <c r="R151"/>
  <c r="W151"/>
  <c r="S151"/>
  <c r="Q151"/>
  <c r="Z151"/>
  <c r="D151"/>
  <c r="AE151" s="1"/>
  <c r="A152"/>
  <c r="U151"/>
  <c r="M151"/>
  <c r="G151"/>
  <c r="AH152"/>
  <c r="AC151"/>
  <c r="N151"/>
  <c r="F151"/>
  <c r="C151"/>
  <c r="B151"/>
  <c r="L151"/>
  <c r="V151"/>
  <c r="U105" l="1"/>
  <c r="AG64"/>
  <c r="AK63"/>
  <c r="AC152"/>
  <c r="G152"/>
  <c r="V152"/>
  <c r="L152"/>
  <c r="AA152"/>
  <c r="A153"/>
  <c r="C152"/>
  <c r="Z152"/>
  <c r="D152"/>
  <c r="AE152" s="1"/>
  <c r="E152"/>
  <c r="M152"/>
  <c r="W152"/>
  <c r="Y152"/>
  <c r="R152"/>
  <c r="AK153"/>
  <c r="F152"/>
  <c r="S152"/>
  <c r="AG153"/>
  <c r="Q152"/>
  <c r="AJ153"/>
  <c r="U152"/>
  <c r="AI153"/>
  <c r="N152"/>
  <c r="B152"/>
  <c r="AH153"/>
  <c r="V105" l="1"/>
  <c r="W105" s="1"/>
  <c r="AH64"/>
  <c r="M62"/>
  <c r="Q62"/>
  <c r="E153"/>
  <c r="R153"/>
  <c r="S153"/>
  <c r="AI154"/>
  <c r="D153"/>
  <c r="AE153" s="1"/>
  <c r="AK154"/>
  <c r="V153"/>
  <c r="W153"/>
  <c r="G153"/>
  <c r="N153"/>
  <c r="F153"/>
  <c r="B153"/>
  <c r="M153"/>
  <c r="AH154"/>
  <c r="Q153"/>
  <c r="U153"/>
  <c r="Y153"/>
  <c r="AC153"/>
  <c r="AG154"/>
  <c r="L153"/>
  <c r="AJ154"/>
  <c r="A154"/>
  <c r="C153"/>
  <c r="Z153"/>
  <c r="AA153"/>
  <c r="U106" l="1"/>
  <c r="V106" s="1"/>
  <c r="W106" s="1"/>
  <c r="AJ64"/>
  <c r="AI64" s="1"/>
  <c r="D154"/>
  <c r="AE154" s="1"/>
  <c r="F154"/>
  <c r="Z154"/>
  <c r="L154"/>
  <c r="Y154"/>
  <c r="AI155"/>
  <c r="AJ155"/>
  <c r="N154"/>
  <c r="U154"/>
  <c r="AG155"/>
  <c r="AK155"/>
  <c r="AH155"/>
  <c r="G154"/>
  <c r="S154"/>
  <c r="W154"/>
  <c r="B154"/>
  <c r="E154"/>
  <c r="Q154"/>
  <c r="C154"/>
  <c r="R154"/>
  <c r="AA154"/>
  <c r="A155"/>
  <c r="V154"/>
  <c r="AC154"/>
  <c r="M154"/>
  <c r="U107" l="1"/>
  <c r="V107" s="1"/>
  <c r="W107" s="1"/>
  <c r="AG65"/>
  <c r="AK64"/>
  <c r="A156"/>
  <c r="W155"/>
  <c r="AI156"/>
  <c r="R155"/>
  <c r="L155"/>
  <c r="S155"/>
  <c r="Y155"/>
  <c r="C155"/>
  <c r="AA155"/>
  <c r="B155"/>
  <c r="D155"/>
  <c r="AE155" s="1"/>
  <c r="AC155"/>
  <c r="AG156"/>
  <c r="E155"/>
  <c r="M155"/>
  <c r="V155"/>
  <c r="G155"/>
  <c r="F155"/>
  <c r="Z155"/>
  <c r="Q155"/>
  <c r="U155"/>
  <c r="AK156"/>
  <c r="AH156"/>
  <c r="AJ156"/>
  <c r="N155"/>
  <c r="U108" l="1"/>
  <c r="AH65"/>
  <c r="Q63"/>
  <c r="M63"/>
  <c r="N156"/>
  <c r="W156"/>
  <c r="F156"/>
  <c r="S156"/>
  <c r="Q156"/>
  <c r="AH157"/>
  <c r="E156"/>
  <c r="Z156"/>
  <c r="M156"/>
  <c r="Y156"/>
  <c r="AC156"/>
  <c r="B156"/>
  <c r="D156"/>
  <c r="AE156" s="1"/>
  <c r="AA156"/>
  <c r="AI157"/>
  <c r="V156"/>
  <c r="G156"/>
  <c r="C156"/>
  <c r="AG157"/>
  <c r="U156"/>
  <c r="R156"/>
  <c r="AJ157"/>
  <c r="A157"/>
  <c r="AK157"/>
  <c r="L156"/>
  <c r="V108" l="1"/>
  <c r="W108" s="1"/>
  <c r="AJ65"/>
  <c r="AI65" s="1"/>
  <c r="AG66" s="1"/>
  <c r="AA157"/>
  <c r="Q157"/>
  <c r="Y157"/>
  <c r="G157"/>
  <c r="W157"/>
  <c r="A158"/>
  <c r="Z157"/>
  <c r="F157"/>
  <c r="AH158"/>
  <c r="R157"/>
  <c r="C157"/>
  <c r="N157"/>
  <c r="B157"/>
  <c r="AI158"/>
  <c r="AJ158"/>
  <c r="L157"/>
  <c r="AC157"/>
  <c r="E157"/>
  <c r="D157"/>
  <c r="AE157" s="1"/>
  <c r="V157"/>
  <c r="AG158"/>
  <c r="U157"/>
  <c r="AK158"/>
  <c r="M157"/>
  <c r="S157"/>
  <c r="U109" l="1"/>
  <c r="AK65"/>
  <c r="AH66"/>
  <c r="M158"/>
  <c r="AA158"/>
  <c r="G158"/>
  <c r="W158"/>
  <c r="B158"/>
  <c r="AG159"/>
  <c r="U158"/>
  <c r="Z158"/>
  <c r="A159"/>
  <c r="N158"/>
  <c r="AC158"/>
  <c r="AJ159"/>
  <c r="R158"/>
  <c r="F158"/>
  <c r="L158"/>
  <c r="Q158"/>
  <c r="D158"/>
  <c r="AE158" s="1"/>
  <c r="S158"/>
  <c r="AI159"/>
  <c r="V158"/>
  <c r="Y158"/>
  <c r="AH159"/>
  <c r="C158"/>
  <c r="AK159"/>
  <c r="E158"/>
  <c r="V109" l="1"/>
  <c r="W109" s="1"/>
  <c r="M64"/>
  <c r="Q64"/>
  <c r="AJ66"/>
  <c r="AI66" s="1"/>
  <c r="AG67" s="1"/>
  <c r="D159"/>
  <c r="AE159" s="1"/>
  <c r="N159"/>
  <c r="AK160"/>
  <c r="Y159"/>
  <c r="AH160"/>
  <c r="AJ160"/>
  <c r="C159"/>
  <c r="B159"/>
  <c r="AA159"/>
  <c r="G159"/>
  <c r="Z159"/>
  <c r="Q159"/>
  <c r="R159"/>
  <c r="L159"/>
  <c r="M159"/>
  <c r="F159"/>
  <c r="S159"/>
  <c r="AI160"/>
  <c r="AC159"/>
  <c r="E159"/>
  <c r="AG160"/>
  <c r="U159"/>
  <c r="V159"/>
  <c r="W159"/>
  <c r="A160"/>
  <c r="U110" l="1"/>
  <c r="AK66"/>
  <c r="M65" s="1"/>
  <c r="AH67"/>
  <c r="Z160"/>
  <c r="A161"/>
  <c r="Q160"/>
  <c r="N160"/>
  <c r="G160"/>
  <c r="AH161"/>
  <c r="W160"/>
  <c r="B160"/>
  <c r="R160"/>
  <c r="AG161"/>
  <c r="E160"/>
  <c r="AA160"/>
  <c r="AK161"/>
  <c r="L160"/>
  <c r="D160"/>
  <c r="AE160" s="1"/>
  <c r="AI161"/>
  <c r="C160"/>
  <c r="F160"/>
  <c r="AJ161"/>
  <c r="U160"/>
  <c r="Y160"/>
  <c r="AC160"/>
  <c r="S160"/>
  <c r="M160"/>
  <c r="V160"/>
  <c r="V110" l="1"/>
  <c r="W110" s="1"/>
  <c r="Q65"/>
  <c r="AJ67"/>
  <c r="AI67" s="1"/>
  <c r="Q161"/>
  <c r="AC161"/>
  <c r="F161"/>
  <c r="E161"/>
  <c r="AK162"/>
  <c r="AJ162"/>
  <c r="G161"/>
  <c r="Y161"/>
  <c r="N161"/>
  <c r="R161"/>
  <c r="V161"/>
  <c r="S161"/>
  <c r="C161"/>
  <c r="AG162"/>
  <c r="W161"/>
  <c r="AH162"/>
  <c r="D161"/>
  <c r="AE161" s="1"/>
  <c r="M161"/>
  <c r="L161"/>
  <c r="B161"/>
  <c r="U161"/>
  <c r="A162"/>
  <c r="AI162"/>
  <c r="Z161"/>
  <c r="AA161"/>
  <c r="U111" l="1"/>
  <c r="V111" s="1"/>
  <c r="W111" s="1"/>
  <c r="AG68"/>
  <c r="AK67"/>
  <c r="AK163"/>
  <c r="W162"/>
  <c r="Z162"/>
  <c r="AI163"/>
  <c r="F162"/>
  <c r="AJ163"/>
  <c r="A163"/>
  <c r="AH163"/>
  <c r="E162"/>
  <c r="R162"/>
  <c r="M162"/>
  <c r="S162"/>
  <c r="U162"/>
  <c r="AC162"/>
  <c r="C162"/>
  <c r="Q162"/>
  <c r="B162"/>
  <c r="L162"/>
  <c r="AG163"/>
  <c r="Y162"/>
  <c r="D162"/>
  <c r="AE162" s="1"/>
  <c r="G162"/>
  <c r="N162"/>
  <c r="AA162"/>
  <c r="V162"/>
  <c r="U112" l="1"/>
  <c r="AH68"/>
  <c r="Q66"/>
  <c r="M66"/>
  <c r="Y163"/>
  <c r="M163"/>
  <c r="B163"/>
  <c r="A164"/>
  <c r="D163"/>
  <c r="AE163" s="1"/>
  <c r="AJ164"/>
  <c r="AA163"/>
  <c r="F163"/>
  <c r="Q163"/>
  <c r="U163"/>
  <c r="S163"/>
  <c r="AG164"/>
  <c r="W163"/>
  <c r="G163"/>
  <c r="Z163"/>
  <c r="AH164"/>
  <c r="L163"/>
  <c r="E163"/>
  <c r="C163"/>
  <c r="AC163"/>
  <c r="R163"/>
  <c r="N163"/>
  <c r="AK164"/>
  <c r="V163"/>
  <c r="AI164"/>
  <c r="V112" l="1"/>
  <c r="W112" s="1"/>
  <c r="AJ68"/>
  <c r="AI68" s="1"/>
  <c r="W164"/>
  <c r="AK165"/>
  <c r="E164"/>
  <c r="R164"/>
  <c r="F164"/>
  <c r="U164"/>
  <c r="AC164"/>
  <c r="N164"/>
  <c r="V164"/>
  <c r="B164"/>
  <c r="AH165"/>
  <c r="C164"/>
  <c r="G164"/>
  <c r="S164"/>
  <c r="AG165"/>
  <c r="Y164"/>
  <c r="L164"/>
  <c r="A165"/>
  <c r="D164"/>
  <c r="AE164" s="1"/>
  <c r="AA164"/>
  <c r="AI165"/>
  <c r="M164"/>
  <c r="AJ165"/>
  <c r="Z164"/>
  <c r="Q164"/>
  <c r="U113" l="1"/>
  <c r="AG69"/>
  <c r="AK68"/>
  <c r="V165"/>
  <c r="AI166"/>
  <c r="E165"/>
  <c r="AA165"/>
  <c r="B165"/>
  <c r="C165"/>
  <c r="S165"/>
  <c r="G165"/>
  <c r="AC165"/>
  <c r="L165"/>
  <c r="Z165"/>
  <c r="AK166"/>
  <c r="AH166"/>
  <c r="W165"/>
  <c r="Q165"/>
  <c r="R165"/>
  <c r="N165"/>
  <c r="AG166"/>
  <c r="U165"/>
  <c r="M165"/>
  <c r="D165"/>
  <c r="AE165" s="1"/>
  <c r="F165"/>
  <c r="A166"/>
  <c r="AJ166"/>
  <c r="Y165"/>
  <c r="V113" l="1"/>
  <c r="W113" s="1"/>
  <c r="AH69"/>
  <c r="M67"/>
  <c r="Q67"/>
  <c r="F166"/>
  <c r="D166"/>
  <c r="AE166" s="1"/>
  <c r="N166"/>
  <c r="V166"/>
  <c r="G166"/>
  <c r="AG167"/>
  <c r="AK167"/>
  <c r="Y166"/>
  <c r="C166"/>
  <c r="S166"/>
  <c r="AC166"/>
  <c r="Q166"/>
  <c r="Z166"/>
  <c r="E166"/>
  <c r="U166"/>
  <c r="W166"/>
  <c r="AI167"/>
  <c r="M166"/>
  <c r="AA166"/>
  <c r="B166"/>
  <c r="A167"/>
  <c r="R166"/>
  <c r="AH167"/>
  <c r="AJ167"/>
  <c r="L166"/>
  <c r="U114" l="1"/>
  <c r="V114" s="1"/>
  <c r="AJ69"/>
  <c r="AI69" s="1"/>
  <c r="W167"/>
  <c r="S167"/>
  <c r="AI168"/>
  <c r="M167"/>
  <c r="D167"/>
  <c r="AE167" s="1"/>
  <c r="Q167"/>
  <c r="V167"/>
  <c r="L167"/>
  <c r="B167"/>
  <c r="C167"/>
  <c r="N167"/>
  <c r="AC167"/>
  <c r="F167"/>
  <c r="AG168"/>
  <c r="A168"/>
  <c r="R167"/>
  <c r="Z167"/>
  <c r="AA167"/>
  <c r="AJ168"/>
  <c r="E167"/>
  <c r="AK168"/>
  <c r="U167"/>
  <c r="Y167"/>
  <c r="AH168"/>
  <c r="G167"/>
  <c r="W114" l="1"/>
  <c r="U115"/>
  <c r="V115" s="1"/>
  <c r="W115" s="1"/>
  <c r="AG70"/>
  <c r="AK69"/>
  <c r="Z168"/>
  <c r="B168"/>
  <c r="AJ169"/>
  <c r="V168"/>
  <c r="R168"/>
  <c r="L168"/>
  <c r="S168"/>
  <c r="AG169"/>
  <c r="N168"/>
  <c r="AI169"/>
  <c r="AH169"/>
  <c r="G168"/>
  <c r="E168"/>
  <c r="C168"/>
  <c r="AK169"/>
  <c r="Q168"/>
  <c r="U168"/>
  <c r="M168"/>
  <c r="AC168"/>
  <c r="AA168"/>
  <c r="Y168"/>
  <c r="D168"/>
  <c r="AE168" s="1"/>
  <c r="W168"/>
  <c r="A169"/>
  <c r="F168"/>
  <c r="U116" l="1"/>
  <c r="AH70"/>
  <c r="Q68"/>
  <c r="M68"/>
  <c r="AJ170"/>
  <c r="AK170"/>
  <c r="R169"/>
  <c r="D169"/>
  <c r="AE169" s="1"/>
  <c r="N169"/>
  <c r="AA169"/>
  <c r="F169"/>
  <c r="S169"/>
  <c r="C169"/>
  <c r="G169"/>
  <c r="A170"/>
  <c r="E169"/>
  <c r="Y169"/>
  <c r="W169"/>
  <c r="AI170"/>
  <c r="B169"/>
  <c r="M169"/>
  <c r="AH170"/>
  <c r="AC169"/>
  <c r="L169"/>
  <c r="Q169"/>
  <c r="U169"/>
  <c r="AG170"/>
  <c r="Z169"/>
  <c r="V169"/>
  <c r="V116" l="1"/>
  <c r="W116" s="1"/>
  <c r="AJ70"/>
  <c r="AI70" s="1"/>
  <c r="U170"/>
  <c r="L170"/>
  <c r="D170"/>
  <c r="AE170" s="1"/>
  <c r="AA170"/>
  <c r="Y170"/>
  <c r="Z170"/>
  <c r="V170"/>
  <c r="M170"/>
  <c r="E170"/>
  <c r="AJ171"/>
  <c r="R170"/>
  <c r="W170"/>
  <c r="AH171"/>
  <c r="AI171"/>
  <c r="A171"/>
  <c r="AK171"/>
  <c r="S170"/>
  <c r="G170"/>
  <c r="AG171"/>
  <c r="C170"/>
  <c r="Q170"/>
  <c r="B170"/>
  <c r="F170"/>
  <c r="AC170"/>
  <c r="N170"/>
  <c r="U117" l="1"/>
  <c r="AG71"/>
  <c r="AK70"/>
  <c r="N171"/>
  <c r="W171"/>
  <c r="AI172"/>
  <c r="AG172"/>
  <c r="R171"/>
  <c r="G171"/>
  <c r="Y171"/>
  <c r="AH172"/>
  <c r="AA171"/>
  <c r="V171"/>
  <c r="M171"/>
  <c r="S171"/>
  <c r="E171"/>
  <c r="A172"/>
  <c r="F171"/>
  <c r="AC171"/>
  <c r="B171"/>
  <c r="C171"/>
  <c r="L171"/>
  <c r="U171"/>
  <c r="Q171"/>
  <c r="AK172"/>
  <c r="AJ172"/>
  <c r="D171"/>
  <c r="AE171" s="1"/>
  <c r="Z171"/>
  <c r="V117" l="1"/>
  <c r="W117" s="1"/>
  <c r="M69"/>
  <c r="Q69"/>
  <c r="AH71"/>
  <c r="A173"/>
  <c r="AK173"/>
  <c r="N172"/>
  <c r="M172"/>
  <c r="Y172"/>
  <c r="AI173"/>
  <c r="W172"/>
  <c r="AJ173"/>
  <c r="U172"/>
  <c r="AA172"/>
  <c r="L172"/>
  <c r="AH173"/>
  <c r="V172"/>
  <c r="R172"/>
  <c r="Q172"/>
  <c r="D172"/>
  <c r="AE172" s="1"/>
  <c r="AC172"/>
  <c r="AG173"/>
  <c r="G172"/>
  <c r="E172"/>
  <c r="B172"/>
  <c r="F172"/>
  <c r="C172"/>
  <c r="S172"/>
  <c r="Z172"/>
  <c r="U118" l="1"/>
  <c r="V118" s="1"/>
  <c r="W118" s="1"/>
  <c r="AJ71"/>
  <c r="AI71" s="1"/>
  <c r="M173"/>
  <c r="AA173"/>
  <c r="F173"/>
  <c r="Y173"/>
  <c r="AJ174"/>
  <c r="R173"/>
  <c r="V173"/>
  <c r="C173"/>
  <c r="S173"/>
  <c r="B173"/>
  <c r="AI174"/>
  <c r="AK174"/>
  <c r="A174"/>
  <c r="U173"/>
  <c r="Z173"/>
  <c r="AH174"/>
  <c r="W173"/>
  <c r="AC173"/>
  <c r="L173"/>
  <c r="G173"/>
  <c r="N173"/>
  <c r="E173"/>
  <c r="Q173"/>
  <c r="D173"/>
  <c r="AE173" s="1"/>
  <c r="AG174"/>
  <c r="U119" l="1"/>
  <c r="AG72"/>
  <c r="AK71"/>
  <c r="AK175"/>
  <c r="AI175"/>
  <c r="N174"/>
  <c r="AG175"/>
  <c r="E174"/>
  <c r="B174"/>
  <c r="C174"/>
  <c r="AA174"/>
  <c r="Y174"/>
  <c r="AH175"/>
  <c r="AC174"/>
  <c r="V174"/>
  <c r="F174"/>
  <c r="Z174"/>
  <c r="W174"/>
  <c r="M174"/>
  <c r="A175"/>
  <c r="U174"/>
  <c r="G174"/>
  <c r="R174"/>
  <c r="D174"/>
  <c r="AE174" s="1"/>
  <c r="L174"/>
  <c r="AJ175"/>
  <c r="S174"/>
  <c r="Q174"/>
  <c r="V119" l="1"/>
  <c r="W119" s="1"/>
  <c r="AH72"/>
  <c r="M70"/>
  <c r="Q70"/>
  <c r="N175"/>
  <c r="D175"/>
  <c r="AE175" s="1"/>
  <c r="AJ176"/>
  <c r="M175"/>
  <c r="C175"/>
  <c r="Z175"/>
  <c r="G175"/>
  <c r="AK176"/>
  <c r="A176"/>
  <c r="Y175"/>
  <c r="U175"/>
  <c r="Q175"/>
  <c r="F175"/>
  <c r="L175"/>
  <c r="AG176"/>
  <c r="AI176"/>
  <c r="W175"/>
  <c r="B175"/>
  <c r="V175"/>
  <c r="AH176"/>
  <c r="E175"/>
  <c r="AA175"/>
  <c r="S175"/>
  <c r="AC175"/>
  <c r="R175"/>
  <c r="U120" l="1"/>
  <c r="AJ72"/>
  <c r="AI72" s="1"/>
  <c r="Y176"/>
  <c r="B176"/>
  <c r="V176"/>
  <c r="Q176"/>
  <c r="A177"/>
  <c r="AI177"/>
  <c r="AC176"/>
  <c r="AA176"/>
  <c r="U176"/>
  <c r="G176"/>
  <c r="AK177"/>
  <c r="Z176"/>
  <c r="M176"/>
  <c r="C176"/>
  <c r="E176"/>
  <c r="AH177"/>
  <c r="S176"/>
  <c r="F176"/>
  <c r="L176"/>
  <c r="AG177"/>
  <c r="D176"/>
  <c r="AE176" s="1"/>
  <c r="W176"/>
  <c r="R176"/>
  <c r="AJ177"/>
  <c r="N176"/>
  <c r="V120" l="1"/>
  <c r="W120" s="1"/>
  <c r="AG73"/>
  <c r="AK72"/>
  <c r="AH178"/>
  <c r="R177"/>
  <c r="Q177"/>
  <c r="AC177"/>
  <c r="Z177"/>
  <c r="AK178"/>
  <c r="AA177"/>
  <c r="AI178"/>
  <c r="Y177"/>
  <c r="D177"/>
  <c r="AE177" s="1"/>
  <c r="B177"/>
  <c r="G177"/>
  <c r="W177"/>
  <c r="S177"/>
  <c r="L177"/>
  <c r="V177"/>
  <c r="E177"/>
  <c r="C177"/>
  <c r="N177"/>
  <c r="A178"/>
  <c r="F177"/>
  <c r="U177"/>
  <c r="AG178"/>
  <c r="AJ178"/>
  <c r="M177"/>
  <c r="U121" l="1"/>
  <c r="Q71"/>
  <c r="M71"/>
  <c r="AH73"/>
  <c r="U178"/>
  <c r="S178"/>
  <c r="V178"/>
  <c r="R178"/>
  <c r="AC178"/>
  <c r="AJ179"/>
  <c r="D178"/>
  <c r="AE178" s="1"/>
  <c r="N178"/>
  <c r="Z178"/>
  <c r="AH179"/>
  <c r="C178"/>
  <c r="AA178"/>
  <c r="AI179"/>
  <c r="L178"/>
  <c r="W178"/>
  <c r="F178"/>
  <c r="G178"/>
  <c r="B178"/>
  <c r="Y178"/>
  <c r="E178"/>
  <c r="A179"/>
  <c r="Q178"/>
  <c r="AK179"/>
  <c r="M178"/>
  <c r="AG179"/>
  <c r="V121" l="1"/>
  <c r="W121" s="1"/>
  <c r="AJ73"/>
  <c r="AI73" s="1"/>
  <c r="AG74" s="1"/>
  <c r="F179"/>
  <c r="AG180"/>
  <c r="A180"/>
  <c r="AJ180"/>
  <c r="Q179"/>
  <c r="B179"/>
  <c r="D179"/>
  <c r="AE179" s="1"/>
  <c r="M179"/>
  <c r="S179"/>
  <c r="AI180"/>
  <c r="AK180"/>
  <c r="AC179"/>
  <c r="V179"/>
  <c r="U179"/>
  <c r="N179"/>
  <c r="Z179"/>
  <c r="AH180"/>
  <c r="W179"/>
  <c r="R179"/>
  <c r="AA179"/>
  <c r="L179"/>
  <c r="Y179"/>
  <c r="C179"/>
  <c r="G179"/>
  <c r="E179"/>
  <c r="U122" l="1"/>
  <c r="V122" s="1"/>
  <c r="W122" s="1"/>
  <c r="AK73"/>
  <c r="Q72" s="1"/>
  <c r="AH74"/>
  <c r="L180"/>
  <c r="AK181"/>
  <c r="AH181"/>
  <c r="U180"/>
  <c r="N180"/>
  <c r="AC180"/>
  <c r="B180"/>
  <c r="A181"/>
  <c r="G180"/>
  <c r="Y180"/>
  <c r="W180"/>
  <c r="M180"/>
  <c r="Z180"/>
  <c r="R180"/>
  <c r="V180"/>
  <c r="AG181"/>
  <c r="D180"/>
  <c r="AE180" s="1"/>
  <c r="E180"/>
  <c r="S180"/>
  <c r="AJ181"/>
  <c r="AA180"/>
  <c r="Q180"/>
  <c r="C180"/>
  <c r="AI181"/>
  <c r="F180"/>
  <c r="U123" l="1"/>
  <c r="V123" s="1"/>
  <c r="W123" s="1"/>
  <c r="M72"/>
  <c r="AJ74"/>
  <c r="AI74" s="1"/>
  <c r="AG75" s="1"/>
  <c r="AC181"/>
  <c r="AK182"/>
  <c r="S181"/>
  <c r="B181"/>
  <c r="Y181"/>
  <c r="AJ182"/>
  <c r="N181"/>
  <c r="E181"/>
  <c r="G181"/>
  <c r="AG182"/>
  <c r="A182"/>
  <c r="U181"/>
  <c r="R181"/>
  <c r="V181"/>
  <c r="M181"/>
  <c r="AI182"/>
  <c r="Q181"/>
  <c r="F181"/>
  <c r="C181"/>
  <c r="AH182"/>
  <c r="W181"/>
  <c r="D181"/>
  <c r="AE181" s="1"/>
  <c r="L181"/>
  <c r="Z181"/>
  <c r="AA181"/>
  <c r="U124" l="1"/>
  <c r="V124" s="1"/>
  <c r="W124" s="1"/>
  <c r="AK74"/>
  <c r="AH75"/>
  <c r="AJ183"/>
  <c r="AA182"/>
  <c r="M182"/>
  <c r="B182"/>
  <c r="U182"/>
  <c r="C182"/>
  <c r="R182"/>
  <c r="L182"/>
  <c r="AC182"/>
  <c r="S182"/>
  <c r="Y182"/>
  <c r="AG183"/>
  <c r="W182"/>
  <c r="AI183"/>
  <c r="Z182"/>
  <c r="D182"/>
  <c r="AE182" s="1"/>
  <c r="N182"/>
  <c r="E182"/>
  <c r="A183"/>
  <c r="G182"/>
  <c r="F182"/>
  <c r="V182"/>
  <c r="AH183"/>
  <c r="Q182"/>
  <c r="AK183"/>
  <c r="U125" l="1"/>
  <c r="V125" s="1"/>
  <c r="W125" s="1"/>
  <c r="M73"/>
  <c r="Q73"/>
  <c r="AJ75"/>
  <c r="AI75" s="1"/>
  <c r="AG76" s="1"/>
  <c r="V183"/>
  <c r="F183"/>
  <c r="AC183"/>
  <c r="Y183"/>
  <c r="U183"/>
  <c r="AJ184"/>
  <c r="AG184"/>
  <c r="AI184"/>
  <c r="R183"/>
  <c r="AH184"/>
  <c r="D183"/>
  <c r="AE183" s="1"/>
  <c r="G183"/>
  <c r="A184"/>
  <c r="AA183"/>
  <c r="M183"/>
  <c r="W183"/>
  <c r="AK184"/>
  <c r="C183"/>
  <c r="Q183"/>
  <c r="B183"/>
  <c r="E183"/>
  <c r="L183"/>
  <c r="S183"/>
  <c r="Z183"/>
  <c r="N183"/>
  <c r="U126" l="1"/>
  <c r="V126" s="1"/>
  <c r="W126" s="1"/>
  <c r="AH76"/>
  <c r="AK75"/>
  <c r="F184"/>
  <c r="S184"/>
  <c r="AG185"/>
  <c r="C184"/>
  <c r="U184"/>
  <c r="AH185"/>
  <c r="AI185"/>
  <c r="AJ185"/>
  <c r="Q184"/>
  <c r="A185"/>
  <c r="L184"/>
  <c r="Y184"/>
  <c r="AC184"/>
  <c r="AK185"/>
  <c r="M184"/>
  <c r="Z184"/>
  <c r="V184"/>
  <c r="E184"/>
  <c r="G184"/>
  <c r="B184"/>
  <c r="W184"/>
  <c r="AA184"/>
  <c r="N184"/>
  <c r="R184"/>
  <c r="D184"/>
  <c r="AE184" s="1"/>
  <c r="M74" l="1"/>
  <c r="Q74"/>
  <c r="AJ76"/>
  <c r="AI76" s="1"/>
  <c r="AG77" s="1"/>
  <c r="AH186"/>
  <c r="A186"/>
  <c r="W185"/>
  <c r="C185"/>
  <c r="AG186"/>
  <c r="G185"/>
  <c r="AJ186"/>
  <c r="B185"/>
  <c r="AC185"/>
  <c r="U185"/>
  <c r="N185"/>
  <c r="R185"/>
  <c r="AA185"/>
  <c r="V185"/>
  <c r="M185"/>
  <c r="S185"/>
  <c r="AI186"/>
  <c r="Z185"/>
  <c r="E185"/>
  <c r="L185"/>
  <c r="D185"/>
  <c r="AE185" s="1"/>
  <c r="Q185"/>
  <c r="Y185"/>
  <c r="F185"/>
  <c r="AK186"/>
  <c r="AH77" l="1"/>
  <c r="AK76"/>
  <c r="AA186"/>
  <c r="W186"/>
  <c r="U186"/>
  <c r="N186"/>
  <c r="AJ187"/>
  <c r="D186"/>
  <c r="AE186" s="1"/>
  <c r="Z186"/>
  <c r="AK187"/>
  <c r="B186"/>
  <c r="AC186"/>
  <c r="A187"/>
  <c r="E186"/>
  <c r="V186"/>
  <c r="M186"/>
  <c r="L186"/>
  <c r="AI187"/>
  <c r="Q186"/>
  <c r="Y186"/>
  <c r="AG187"/>
  <c r="F186"/>
  <c r="G186"/>
  <c r="C186"/>
  <c r="R186"/>
  <c r="S186"/>
  <c r="AH187"/>
  <c r="Q75" l="1"/>
  <c r="M75"/>
  <c r="AJ77"/>
  <c r="AI77" s="1"/>
  <c r="Z187"/>
  <c r="AJ188"/>
  <c r="AC187"/>
  <c r="L187"/>
  <c r="G187"/>
  <c r="AG188"/>
  <c r="D187"/>
  <c r="AE187" s="1"/>
  <c r="A188"/>
  <c r="R187"/>
  <c r="C187"/>
  <c r="S187"/>
  <c r="Q187"/>
  <c r="Y187"/>
  <c r="U187"/>
  <c r="M187"/>
  <c r="N187"/>
  <c r="AA187"/>
  <c r="AI188"/>
  <c r="F187"/>
  <c r="B187"/>
  <c r="V187"/>
  <c r="AK188"/>
  <c r="E187"/>
  <c r="W187"/>
  <c r="AH188"/>
  <c r="AG78" l="1"/>
  <c r="AK77"/>
  <c r="C188"/>
  <c r="B188"/>
  <c r="AC188"/>
  <c r="AJ189"/>
  <c r="AK189"/>
  <c r="G188"/>
  <c r="N188"/>
  <c r="U188"/>
  <c r="Q188"/>
  <c r="M188"/>
  <c r="S188"/>
  <c r="L188"/>
  <c r="F188"/>
  <c r="AA188"/>
  <c r="W188"/>
  <c r="A189"/>
  <c r="D188"/>
  <c r="AE188" s="1"/>
  <c r="AI189"/>
  <c r="AH189"/>
  <c r="Z188"/>
  <c r="Y188"/>
  <c r="AG189"/>
  <c r="E188"/>
  <c r="V188"/>
  <c r="R188"/>
  <c r="AH78" l="1"/>
  <c r="M76"/>
  <c r="Q76"/>
  <c r="E189"/>
  <c r="AA189"/>
  <c r="S189"/>
  <c r="Q189"/>
  <c r="R189"/>
  <c r="AJ190"/>
  <c r="AI190"/>
  <c r="AC189"/>
  <c r="M189"/>
  <c r="AG190"/>
  <c r="B189"/>
  <c r="Y189"/>
  <c r="V189"/>
  <c r="A190"/>
  <c r="N189"/>
  <c r="AK190"/>
  <c r="F189"/>
  <c r="G189"/>
  <c r="U189"/>
  <c r="W189"/>
  <c r="D189"/>
  <c r="AE189" s="1"/>
  <c r="AH190"/>
  <c r="C189"/>
  <c r="Z189"/>
  <c r="L189"/>
  <c r="AJ78" l="1"/>
  <c r="AI78" s="1"/>
  <c r="M190"/>
  <c r="A191"/>
  <c r="D190"/>
  <c r="AE190" s="1"/>
  <c r="AC190"/>
  <c r="U190"/>
  <c r="F190"/>
  <c r="C190"/>
  <c r="Q190"/>
  <c r="AK191"/>
  <c r="AA190"/>
  <c r="Y190"/>
  <c r="V190"/>
  <c r="E190"/>
  <c r="AH191"/>
  <c r="L190"/>
  <c r="N190"/>
  <c r="S190"/>
  <c r="G190"/>
  <c r="Z190"/>
  <c r="W190"/>
  <c r="AG191"/>
  <c r="AI191"/>
  <c r="R190"/>
  <c r="AJ191"/>
  <c r="B190"/>
  <c r="AG79" l="1"/>
  <c r="AK78"/>
  <c r="F191"/>
  <c r="AK192"/>
  <c r="U191"/>
  <c r="M191"/>
  <c r="AG192"/>
  <c r="A192"/>
  <c r="B191"/>
  <c r="Y191"/>
  <c r="S191"/>
  <c r="AI192"/>
  <c r="E191"/>
  <c r="D191"/>
  <c r="AE191" s="1"/>
  <c r="AJ192"/>
  <c r="C191"/>
  <c r="W191"/>
  <c r="G191"/>
  <c r="Q191"/>
  <c r="N191"/>
  <c r="Z191"/>
  <c r="L191"/>
  <c r="R191"/>
  <c r="AC191"/>
  <c r="V191"/>
  <c r="AH192"/>
  <c r="AA191"/>
  <c r="AH79" l="1"/>
  <c r="M77"/>
  <c r="Q77"/>
  <c r="G192"/>
  <c r="AC192"/>
  <c r="B192"/>
  <c r="AJ193"/>
  <c r="AI193"/>
  <c r="F192"/>
  <c r="AH193"/>
  <c r="S192"/>
  <c r="U192"/>
  <c r="N192"/>
  <c r="V192"/>
  <c r="A193"/>
  <c r="D192"/>
  <c r="AE192" s="1"/>
  <c r="C192"/>
  <c r="AK193"/>
  <c r="Z192"/>
  <c r="L192"/>
  <c r="M192"/>
  <c r="E192"/>
  <c r="R192"/>
  <c r="W192"/>
  <c r="Y192"/>
  <c r="AG193"/>
  <c r="AA192"/>
  <c r="Q192"/>
  <c r="AJ79" l="1"/>
  <c r="AI79" s="1"/>
  <c r="AG80" s="1"/>
  <c r="S193"/>
  <c r="Y193"/>
  <c r="E193"/>
  <c r="AG194"/>
  <c r="AK194"/>
  <c r="M193"/>
  <c r="U193"/>
  <c r="A194"/>
  <c r="N193"/>
  <c r="AA193"/>
  <c r="L193"/>
  <c r="AI194"/>
  <c r="D193"/>
  <c r="AE193" s="1"/>
  <c r="G193"/>
  <c r="V193"/>
  <c r="B193"/>
  <c r="AC193"/>
  <c r="W193"/>
  <c r="C193"/>
  <c r="Z193"/>
  <c r="AJ194"/>
  <c r="Q193"/>
  <c r="R193"/>
  <c r="F193"/>
  <c r="AH194"/>
  <c r="AK79" l="1"/>
  <c r="AH80"/>
  <c r="N194"/>
  <c r="AI195"/>
  <c r="W194"/>
  <c r="Z194"/>
  <c r="M194"/>
  <c r="R194"/>
  <c r="G194"/>
  <c r="AA194"/>
  <c r="B194"/>
  <c r="AK195"/>
  <c r="U194"/>
  <c r="AC194"/>
  <c r="D194"/>
  <c r="AE194" s="1"/>
  <c r="A195"/>
  <c r="AJ195"/>
  <c r="S194"/>
  <c r="AH195"/>
  <c r="E194"/>
  <c r="L194"/>
  <c r="Q194"/>
  <c r="C194"/>
  <c r="AG195"/>
  <c r="F194"/>
  <c r="Y194"/>
  <c r="V194"/>
  <c r="Q78" l="1"/>
  <c r="M78"/>
  <c r="AJ80"/>
  <c r="AI80" s="1"/>
  <c r="AG81" s="1"/>
  <c r="U195"/>
  <c r="AC195"/>
  <c r="AA195"/>
  <c r="G195"/>
  <c r="C195"/>
  <c r="E195"/>
  <c r="AK196"/>
  <c r="W195"/>
  <c r="AG196"/>
  <c r="N195"/>
  <c r="Y195"/>
  <c r="Q195"/>
  <c r="M195"/>
  <c r="L195"/>
  <c r="R195"/>
  <c r="A196"/>
  <c r="AJ196"/>
  <c r="S195"/>
  <c r="AH196"/>
  <c r="B195"/>
  <c r="V195"/>
  <c r="AI196"/>
  <c r="F195"/>
  <c r="Z195"/>
  <c r="D195"/>
  <c r="AE195" s="1"/>
  <c r="AH81" l="1"/>
  <c r="AK80"/>
  <c r="U196"/>
  <c r="V196"/>
  <c r="AJ197"/>
  <c r="N196"/>
  <c r="W196"/>
  <c r="Z196"/>
  <c r="R196"/>
  <c r="D196"/>
  <c r="AE196" s="1"/>
  <c r="Y196"/>
  <c r="Q196"/>
  <c r="AI197"/>
  <c r="AH197"/>
  <c r="L196"/>
  <c r="AK197"/>
  <c r="C196"/>
  <c r="AG197"/>
  <c r="B196"/>
  <c r="S196"/>
  <c r="F196"/>
  <c r="M196"/>
  <c r="A197"/>
  <c r="AC196"/>
  <c r="G196"/>
  <c r="E196"/>
  <c r="AA196"/>
  <c r="Q79" l="1"/>
  <c r="M79"/>
  <c r="AJ81"/>
  <c r="AI81" s="1"/>
  <c r="AG82" s="1"/>
  <c r="W197"/>
  <c r="E197"/>
  <c r="AJ198"/>
  <c r="L197"/>
  <c r="Z197"/>
  <c r="C197"/>
  <c r="AH198"/>
  <c r="V197"/>
  <c r="AC197"/>
  <c r="F197"/>
  <c r="S197"/>
  <c r="AI198"/>
  <c r="Y197"/>
  <c r="AK198"/>
  <c r="D197"/>
  <c r="AE197" s="1"/>
  <c r="AA197"/>
  <c r="A198"/>
  <c r="AG198"/>
  <c r="R197"/>
  <c r="B197"/>
  <c r="Q197"/>
  <c r="U197"/>
  <c r="M197"/>
  <c r="G197"/>
  <c r="N197"/>
  <c r="AH82" l="1"/>
  <c r="AK81"/>
  <c r="M198"/>
  <c r="L198"/>
  <c r="A199"/>
  <c r="R198"/>
  <c r="AG199"/>
  <c r="W198"/>
  <c r="D198"/>
  <c r="AE198" s="1"/>
  <c r="AA198"/>
  <c r="AI199"/>
  <c r="S198"/>
  <c r="C198"/>
  <c r="B198"/>
  <c r="AJ199"/>
  <c r="U198"/>
  <c r="V198"/>
  <c r="F198"/>
  <c r="Y198"/>
  <c r="Q198"/>
  <c r="AH199"/>
  <c r="AK199"/>
  <c r="AC198"/>
  <c r="E198"/>
  <c r="N198"/>
  <c r="G198"/>
  <c r="Z198"/>
  <c r="M80" l="1"/>
  <c r="Q80"/>
  <c r="AJ82"/>
  <c r="AI82" s="1"/>
  <c r="AG83" s="1"/>
  <c r="B199"/>
  <c r="AI200"/>
  <c r="A200"/>
  <c r="U199"/>
  <c r="AH200"/>
  <c r="C199"/>
  <c r="W199"/>
  <c r="M199"/>
  <c r="F199"/>
  <c r="AC199"/>
  <c r="L199"/>
  <c r="R199"/>
  <c r="Q199"/>
  <c r="AJ200"/>
  <c r="Y199"/>
  <c r="AG200"/>
  <c r="Z199"/>
  <c r="D199"/>
  <c r="AE199" s="1"/>
  <c r="G199"/>
  <c r="E199"/>
  <c r="S199"/>
  <c r="V199"/>
  <c r="N199"/>
  <c r="AA199"/>
  <c r="AK200"/>
  <c r="AH83" l="1"/>
  <c r="AK82"/>
  <c r="AG201"/>
  <c r="V200"/>
  <c r="C200"/>
  <c r="R200"/>
  <c r="AI201"/>
  <c r="U200"/>
  <c r="AA200"/>
  <c r="B200"/>
  <c r="AC200"/>
  <c r="AH201"/>
  <c r="AJ201"/>
  <c r="AK201"/>
  <c r="F200"/>
  <c r="Z200"/>
  <c r="A201"/>
  <c r="Q200"/>
  <c r="D200"/>
  <c r="AE200" s="1"/>
  <c r="Y200"/>
  <c r="M200"/>
  <c r="N200"/>
  <c r="S200"/>
  <c r="E200"/>
  <c r="W200"/>
  <c r="L200"/>
  <c r="G200"/>
  <c r="M81" l="1"/>
  <c r="Q81"/>
  <c r="AJ83"/>
  <c r="AI83" s="1"/>
  <c r="C201"/>
  <c r="F201"/>
  <c r="B201"/>
  <c r="N201"/>
  <c r="L201"/>
  <c r="R201"/>
  <c r="V201"/>
  <c r="AG202"/>
  <c r="W201"/>
  <c r="Z201"/>
  <c r="M201"/>
  <c r="D201"/>
  <c r="AE201" s="1"/>
  <c r="E201"/>
  <c r="Q201"/>
  <c r="U201"/>
  <c r="AK202"/>
  <c r="A202"/>
  <c r="AI202"/>
  <c r="AH202"/>
  <c r="AA201"/>
  <c r="Y201"/>
  <c r="AJ202"/>
  <c r="G201"/>
  <c r="S201"/>
  <c r="AC201"/>
  <c r="AG84" l="1"/>
  <c r="AK83"/>
  <c r="V202"/>
  <c r="AH203"/>
  <c r="AG203"/>
  <c r="Q202"/>
  <c r="Z202"/>
  <c r="AA202"/>
  <c r="AJ203"/>
  <c r="M202"/>
  <c r="D202"/>
  <c r="AE202" s="1"/>
  <c r="R202"/>
  <c r="F202"/>
  <c r="G202"/>
  <c r="A203"/>
  <c r="C202"/>
  <c r="AK203"/>
  <c r="U202"/>
  <c r="S202"/>
  <c r="N202"/>
  <c r="AI203"/>
  <c r="W202"/>
  <c r="L202"/>
  <c r="E202"/>
  <c r="AC202"/>
  <c r="B202"/>
  <c r="Y202"/>
  <c r="M82" l="1"/>
  <c r="Q82"/>
  <c r="AH84"/>
  <c r="AA203"/>
  <c r="AG204"/>
  <c r="AH204"/>
  <c r="Q203"/>
  <c r="AC203"/>
  <c r="B203"/>
  <c r="AI204"/>
  <c r="N203"/>
  <c r="R203"/>
  <c r="AK204"/>
  <c r="S203"/>
  <c r="Z203"/>
  <c r="Y203"/>
  <c r="F203"/>
  <c r="V203"/>
  <c r="M203"/>
  <c r="W203"/>
  <c r="L203"/>
  <c r="C203"/>
  <c r="AJ204"/>
  <c r="D203"/>
  <c r="AE203" s="1"/>
  <c r="E203"/>
  <c r="U203"/>
  <c r="A204"/>
  <c r="G203"/>
  <c r="AJ84" l="1"/>
  <c r="AI84" s="1"/>
  <c r="AG85" s="1"/>
  <c r="V204"/>
  <c r="AJ205"/>
  <c r="R204"/>
  <c r="G204"/>
  <c r="AC204"/>
  <c r="B204"/>
  <c r="Y204"/>
  <c r="U204"/>
  <c r="AI205"/>
  <c r="S204"/>
  <c r="AK205"/>
  <c r="C204"/>
  <c r="AG205"/>
  <c r="L204"/>
  <c r="F204"/>
  <c r="AA204"/>
  <c r="E204"/>
  <c r="AH205"/>
  <c r="A205"/>
  <c r="M204"/>
  <c r="W204"/>
  <c r="Z204"/>
  <c r="D204"/>
  <c r="AE204" s="1"/>
  <c r="N204"/>
  <c r="Q204"/>
  <c r="AK84" l="1"/>
  <c r="AH85"/>
  <c r="Z205"/>
  <c r="AK206"/>
  <c r="Q205"/>
  <c r="AC205"/>
  <c r="D205"/>
  <c r="AE205" s="1"/>
  <c r="F205"/>
  <c r="AH206"/>
  <c r="S205"/>
  <c r="E205"/>
  <c r="Y205"/>
  <c r="W205"/>
  <c r="AG206"/>
  <c r="U205"/>
  <c r="B205"/>
  <c r="AI206"/>
  <c r="G205"/>
  <c r="R205"/>
  <c r="AJ206"/>
  <c r="AA205"/>
  <c r="L205"/>
  <c r="C205"/>
  <c r="A206"/>
  <c r="N205"/>
  <c r="M205"/>
  <c r="V205"/>
  <c r="M83" l="1"/>
  <c r="Q83"/>
  <c r="AJ85"/>
  <c r="AI85" s="1"/>
  <c r="U206"/>
  <c r="AC206"/>
  <c r="B206"/>
  <c r="AK207"/>
  <c r="AJ207"/>
  <c r="W206"/>
  <c r="AG207"/>
  <c r="Y206"/>
  <c r="S206"/>
  <c r="Q206"/>
  <c r="D206"/>
  <c r="AE206" s="1"/>
  <c r="F206"/>
  <c r="M206"/>
  <c r="G206"/>
  <c r="V206"/>
  <c r="Z206"/>
  <c r="E206"/>
  <c r="N206"/>
  <c r="R206"/>
  <c r="AI207"/>
  <c r="AH207"/>
  <c r="C206"/>
  <c r="L206"/>
  <c r="AA206"/>
  <c r="A207"/>
  <c r="AG86" l="1"/>
  <c r="AK85"/>
  <c r="D207"/>
  <c r="AE207" s="1"/>
  <c r="Q207"/>
  <c r="W207"/>
  <c r="F207"/>
  <c r="E207"/>
  <c r="V207"/>
  <c r="AA207"/>
  <c r="A208"/>
  <c r="B207"/>
  <c r="G207"/>
  <c r="N207"/>
  <c r="R207"/>
  <c r="L207"/>
  <c r="C207"/>
  <c r="AH208"/>
  <c r="S207"/>
  <c r="AJ208"/>
  <c r="Z207"/>
  <c r="M207"/>
  <c r="AC207"/>
  <c r="AK208"/>
  <c r="Y207"/>
  <c r="AG208"/>
  <c r="U207"/>
  <c r="AI208"/>
  <c r="AH86" l="1"/>
  <c r="M84"/>
  <c r="Q84"/>
  <c r="V208"/>
  <c r="A209"/>
  <c r="F208"/>
  <c r="Q208"/>
  <c r="AH209"/>
  <c r="C208"/>
  <c r="Y208"/>
  <c r="S208"/>
  <c r="M208"/>
  <c r="AI209"/>
  <c r="AJ209"/>
  <c r="AA208"/>
  <c r="AC208"/>
  <c r="W208"/>
  <c r="N208"/>
  <c r="G208"/>
  <c r="AG209"/>
  <c r="Z208"/>
  <c r="D208"/>
  <c r="AE208" s="1"/>
  <c r="L208"/>
  <c r="R208"/>
  <c r="B208"/>
  <c r="U208"/>
  <c r="E208"/>
  <c r="AK209"/>
  <c r="AJ86" l="1"/>
  <c r="AI86" s="1"/>
  <c r="AG87" s="1"/>
  <c r="AJ210"/>
  <c r="AC209"/>
  <c r="L209"/>
  <c r="Z209"/>
  <c r="AK210"/>
  <c r="W209"/>
  <c r="AA209"/>
  <c r="B209"/>
  <c r="A210"/>
  <c r="N209"/>
  <c r="C209"/>
  <c r="U209"/>
  <c r="AH210"/>
  <c r="Y209"/>
  <c r="G209"/>
  <c r="S209"/>
  <c r="AI210"/>
  <c r="V209"/>
  <c r="R209"/>
  <c r="AG210"/>
  <c r="F209"/>
  <c r="E209"/>
  <c r="Q209"/>
  <c r="D209"/>
  <c r="AE209" s="1"/>
  <c r="M209"/>
  <c r="AK86" l="1"/>
  <c r="AH87"/>
  <c r="AK211"/>
  <c r="Q210"/>
  <c r="AG211"/>
  <c r="AI211"/>
  <c r="N210"/>
  <c r="V210"/>
  <c r="M210"/>
  <c r="R210"/>
  <c r="E210"/>
  <c r="L210"/>
  <c r="Y210"/>
  <c r="A211"/>
  <c r="W210"/>
  <c r="D210"/>
  <c r="AE210" s="1"/>
  <c r="AA210"/>
  <c r="AJ211"/>
  <c r="G210"/>
  <c r="S210"/>
  <c r="AH211"/>
  <c r="U210"/>
  <c r="B210"/>
  <c r="AC210"/>
  <c r="F210"/>
  <c r="C210"/>
  <c r="Z210"/>
  <c r="M85" l="1"/>
  <c r="Q85"/>
  <c r="AJ87"/>
  <c r="AI87" s="1"/>
  <c r="AG88" s="1"/>
  <c r="F211"/>
  <c r="AI212"/>
  <c r="AC211"/>
  <c r="Q211"/>
  <c r="S211"/>
  <c r="R211"/>
  <c r="B211"/>
  <c r="V211"/>
  <c r="W211"/>
  <c r="M211"/>
  <c r="AJ212"/>
  <c r="N211"/>
  <c r="E211"/>
  <c r="Y211"/>
  <c r="AK212"/>
  <c r="G211"/>
  <c r="AH212"/>
  <c r="AG212"/>
  <c r="D211"/>
  <c r="AE211" s="1"/>
  <c r="A212"/>
  <c r="L211"/>
  <c r="C211"/>
  <c r="U211"/>
  <c r="Z211"/>
  <c r="AA211"/>
  <c r="AH88" l="1"/>
  <c r="AK87"/>
  <c r="Q212"/>
  <c r="B212"/>
  <c r="E212"/>
  <c r="G212"/>
  <c r="Y212"/>
  <c r="V212"/>
  <c r="W212"/>
  <c r="AG213"/>
  <c r="N212"/>
  <c r="C212"/>
  <c r="AA212"/>
  <c r="D212"/>
  <c r="AE212" s="1"/>
  <c r="L212"/>
  <c r="AH213"/>
  <c r="U212"/>
  <c r="AJ213"/>
  <c r="A213"/>
  <c r="R212"/>
  <c r="AK213"/>
  <c r="M212"/>
  <c r="AI213"/>
  <c r="S212"/>
  <c r="F212"/>
  <c r="AC212"/>
  <c r="Z212"/>
  <c r="Q86" l="1"/>
  <c r="M86"/>
  <c r="AJ88"/>
  <c r="AI88" s="1"/>
  <c r="AG89" s="1"/>
  <c r="C213"/>
  <c r="E213"/>
  <c r="U213"/>
  <c r="N213"/>
  <c r="AJ214"/>
  <c r="Q213"/>
  <c r="AC213"/>
  <c r="R213"/>
  <c r="B213"/>
  <c r="W213"/>
  <c r="Z213"/>
  <c r="Y213"/>
  <c r="AH214"/>
  <c r="G213"/>
  <c r="A214"/>
  <c r="M213"/>
  <c r="L213"/>
  <c r="V213"/>
  <c r="AG214"/>
  <c r="AI214"/>
  <c r="D213"/>
  <c r="AE213" s="1"/>
  <c r="AA213"/>
  <c r="S213"/>
  <c r="AK214"/>
  <c r="F213"/>
  <c r="AH89" l="1"/>
  <c r="AK88"/>
  <c r="V214"/>
  <c r="U214"/>
  <c r="Q214"/>
  <c r="D214"/>
  <c r="AE214" s="1"/>
  <c r="AC214"/>
  <c r="B214"/>
  <c r="W214"/>
  <c r="N214"/>
  <c r="A215"/>
  <c r="Y214"/>
  <c r="E214"/>
  <c r="R214"/>
  <c r="G214"/>
  <c r="F214"/>
  <c r="AI215"/>
  <c r="AA214"/>
  <c r="AH215"/>
  <c r="C214"/>
  <c r="AG215"/>
  <c r="S214"/>
  <c r="M214"/>
  <c r="AJ215"/>
  <c r="L214"/>
  <c r="AK215"/>
  <c r="Z214"/>
  <c r="Q87" l="1"/>
  <c r="M87"/>
  <c r="AJ89"/>
  <c r="AI89" s="1"/>
  <c r="AG90" s="1"/>
  <c r="U215"/>
  <c r="AH216"/>
  <c r="Q215"/>
  <c r="AJ216"/>
  <c r="E215"/>
  <c r="AA215"/>
  <c r="N215"/>
  <c r="D215"/>
  <c r="AE215" s="1"/>
  <c r="B215"/>
  <c r="W215"/>
  <c r="AI216"/>
  <c r="M215"/>
  <c r="AK216"/>
  <c r="R215"/>
  <c r="V215"/>
  <c r="Z215"/>
  <c r="G215"/>
  <c r="Y215"/>
  <c r="L215"/>
  <c r="AC215"/>
  <c r="AG216"/>
  <c r="C215"/>
  <c r="S215"/>
  <c r="F215"/>
  <c r="A216"/>
  <c r="AH90" l="1"/>
  <c r="AK89"/>
  <c r="V216"/>
  <c r="N216"/>
  <c r="U216"/>
  <c r="G216"/>
  <c r="R216"/>
  <c r="AC216"/>
  <c r="S216"/>
  <c r="AH217"/>
  <c r="AG217"/>
  <c r="D216"/>
  <c r="AE216" s="1"/>
  <c r="AK217"/>
  <c r="A217"/>
  <c r="M216"/>
  <c r="AJ217"/>
  <c r="L216"/>
  <c r="F216"/>
  <c r="B216"/>
  <c r="Z216"/>
  <c r="AI217"/>
  <c r="Y216"/>
  <c r="Q216"/>
  <c r="C216"/>
  <c r="W216"/>
  <c r="AA216"/>
  <c r="E216"/>
  <c r="M88" l="1"/>
  <c r="Q88"/>
  <c r="AJ90"/>
  <c r="AI90" s="1"/>
  <c r="AG91" s="1"/>
  <c r="AC217"/>
  <c r="A218"/>
  <c r="AI218"/>
  <c r="AG218"/>
  <c r="N217"/>
  <c r="G217"/>
  <c r="F217"/>
  <c r="V217"/>
  <c r="S217"/>
  <c r="AJ218"/>
  <c r="W217"/>
  <c r="E217"/>
  <c r="D217"/>
  <c r="AE217" s="1"/>
  <c r="AH218"/>
  <c r="B217"/>
  <c r="R217"/>
  <c r="L217"/>
  <c r="Y217"/>
  <c r="Z217"/>
  <c r="U217"/>
  <c r="Q217"/>
  <c r="C217"/>
  <c r="M217"/>
  <c r="AK218"/>
  <c r="AA217"/>
  <c r="AH91" l="1"/>
  <c r="AK90"/>
  <c r="U218"/>
  <c r="D218"/>
  <c r="AE218" s="1"/>
  <c r="AK219"/>
  <c r="E218"/>
  <c r="G218"/>
  <c r="AI219"/>
  <c r="C218"/>
  <c r="AC218"/>
  <c r="N218"/>
  <c r="Y218"/>
  <c r="AH219"/>
  <c r="M218"/>
  <c r="AA218"/>
  <c r="F218"/>
  <c r="AG219"/>
  <c r="A219"/>
  <c r="AJ219"/>
  <c r="Q218"/>
  <c r="L218"/>
  <c r="V218"/>
  <c r="B218"/>
  <c r="S218"/>
  <c r="R218"/>
  <c r="W218"/>
  <c r="Z218"/>
  <c r="M89" l="1"/>
  <c r="Q89"/>
  <c r="AJ91"/>
  <c r="AI91" s="1"/>
  <c r="AG92" s="1"/>
  <c r="Y219"/>
  <c r="AC219"/>
  <c r="AI220"/>
  <c r="N219"/>
  <c r="S219"/>
  <c r="U219"/>
  <c r="L219"/>
  <c r="F219"/>
  <c r="D219"/>
  <c r="AE219" s="1"/>
  <c r="G219"/>
  <c r="M219"/>
  <c r="B219"/>
  <c r="V219"/>
  <c r="AH220"/>
  <c r="R219"/>
  <c r="AK220"/>
  <c r="AG220"/>
  <c r="C219"/>
  <c r="Q219"/>
  <c r="AA219"/>
  <c r="A220"/>
  <c r="E219"/>
  <c r="Z219"/>
  <c r="W219"/>
  <c r="AJ220"/>
  <c r="AH92" l="1"/>
  <c r="AK91"/>
  <c r="C220"/>
  <c r="Z220"/>
  <c r="AK221"/>
  <c r="AI221"/>
  <c r="AA220"/>
  <c r="AJ221"/>
  <c r="W220"/>
  <c r="N220"/>
  <c r="D220"/>
  <c r="AE220" s="1"/>
  <c r="R220"/>
  <c r="B220"/>
  <c r="U220"/>
  <c r="Y220"/>
  <c r="V220"/>
  <c r="F220"/>
  <c r="G220"/>
  <c r="M220"/>
  <c r="Q220"/>
  <c r="L220"/>
  <c r="AH221"/>
  <c r="S220"/>
  <c r="AC220"/>
  <c r="AG221"/>
  <c r="A221"/>
  <c r="E220"/>
  <c r="Q90" l="1"/>
  <c r="M90"/>
  <c r="AJ92"/>
  <c r="AI92" s="1"/>
  <c r="AK222"/>
  <c r="AH222"/>
  <c r="AA221"/>
  <c r="S221"/>
  <c r="AG222"/>
  <c r="V221"/>
  <c r="A222"/>
  <c r="C221"/>
  <c r="Q221"/>
  <c r="M221"/>
  <c r="L221"/>
  <c r="AJ222"/>
  <c r="N221"/>
  <c r="AC221"/>
  <c r="F221"/>
  <c r="W221"/>
  <c r="R221"/>
  <c r="AI222"/>
  <c r="G221"/>
  <c r="Z221"/>
  <c r="U221"/>
  <c r="B221"/>
  <c r="D221"/>
  <c r="AE221" s="1"/>
  <c r="E221"/>
  <c r="Y221"/>
  <c r="AG93" l="1"/>
  <c r="AK92"/>
  <c r="A223"/>
  <c r="AI223"/>
  <c r="E222"/>
  <c r="V222"/>
  <c r="D222"/>
  <c r="AE222" s="1"/>
  <c r="AG223"/>
  <c r="R222"/>
  <c r="B222"/>
  <c r="Z222"/>
  <c r="AH223"/>
  <c r="N222"/>
  <c r="F222"/>
  <c r="Y222"/>
  <c r="AA222"/>
  <c r="AK223"/>
  <c r="C222"/>
  <c r="W222"/>
  <c r="L222"/>
  <c r="AJ223"/>
  <c r="Q222"/>
  <c r="U222"/>
  <c r="S222"/>
  <c r="M222"/>
  <c r="G222"/>
  <c r="AC222"/>
  <c r="Q91" l="1"/>
  <c r="M91"/>
  <c r="AH93"/>
  <c r="C223"/>
  <c r="Z223"/>
  <c r="AA223"/>
  <c r="N223"/>
  <c r="AC223"/>
  <c r="V223"/>
  <c r="D223"/>
  <c r="AE223" s="1"/>
  <c r="AI224"/>
  <c r="R223"/>
  <c r="E223"/>
  <c r="S223"/>
  <c r="B223"/>
  <c r="AH224"/>
  <c r="L223"/>
  <c r="Q223"/>
  <c r="Y223"/>
  <c r="AK224"/>
  <c r="AG224"/>
  <c r="A224"/>
  <c r="W223"/>
  <c r="M223"/>
  <c r="AJ224"/>
  <c r="G223"/>
  <c r="U223"/>
  <c r="F223"/>
  <c r="AJ93" l="1"/>
  <c r="AI93" s="1"/>
  <c r="AG94" s="1"/>
  <c r="AI225"/>
  <c r="D224"/>
  <c r="AE224" s="1"/>
  <c r="AA224"/>
  <c r="G224"/>
  <c r="C224"/>
  <c r="AK225"/>
  <c r="E224"/>
  <c r="W224"/>
  <c r="M224"/>
  <c r="Z224"/>
  <c r="AJ225"/>
  <c r="B224"/>
  <c r="Y224"/>
  <c r="S224"/>
  <c r="A225"/>
  <c r="V224"/>
  <c r="AG225"/>
  <c r="R224"/>
  <c r="F224"/>
  <c r="AC224"/>
  <c r="Q224"/>
  <c r="U224"/>
  <c r="L224"/>
  <c r="N224"/>
  <c r="AH225"/>
  <c r="AK93" l="1"/>
  <c r="AH94"/>
  <c r="G225"/>
  <c r="A226"/>
  <c r="Z225"/>
  <c r="D225"/>
  <c r="AE225" s="1"/>
  <c r="S225"/>
  <c r="B225"/>
  <c r="W225"/>
  <c r="AA225"/>
  <c r="E225"/>
  <c r="U225"/>
  <c r="C225"/>
  <c r="N225"/>
  <c r="F225"/>
  <c r="AI226"/>
  <c r="L225"/>
  <c r="V225"/>
  <c r="AH226"/>
  <c r="Q225"/>
  <c r="AJ226"/>
  <c r="R225"/>
  <c r="M225"/>
  <c r="AK226"/>
  <c r="AC225"/>
  <c r="Y225"/>
  <c r="AG226"/>
  <c r="M92" l="1"/>
  <c r="Q92"/>
  <c r="AJ94"/>
  <c r="AI94" s="1"/>
  <c r="R226"/>
  <c r="Y226"/>
  <c r="N226"/>
  <c r="W226"/>
  <c r="AA226"/>
  <c r="Z226"/>
  <c r="S226"/>
  <c r="AI227"/>
  <c r="U226"/>
  <c r="F226"/>
  <c r="A227"/>
  <c r="L226"/>
  <c r="C226"/>
  <c r="B226"/>
  <c r="AG227"/>
  <c r="M226"/>
  <c r="D226"/>
  <c r="AE226" s="1"/>
  <c r="Q226"/>
  <c r="AK227"/>
  <c r="AH227"/>
  <c r="AC226"/>
  <c r="AJ227"/>
  <c r="G226"/>
  <c r="V226"/>
  <c r="E226"/>
  <c r="AG95" l="1"/>
  <c r="AK94"/>
  <c r="R227"/>
  <c r="A228"/>
  <c r="F227"/>
  <c r="AI228"/>
  <c r="V227"/>
  <c r="AA227"/>
  <c r="D227"/>
  <c r="AE227" s="1"/>
  <c r="B227"/>
  <c r="AK228"/>
  <c r="AC227"/>
  <c r="M227"/>
  <c r="L227"/>
  <c r="C227"/>
  <c r="E227"/>
  <c r="S227"/>
  <c r="Y227"/>
  <c r="W227"/>
  <c r="Z227"/>
  <c r="AH228"/>
  <c r="G227"/>
  <c r="AG228"/>
  <c r="U227"/>
  <c r="Q227"/>
  <c r="N227"/>
  <c r="AJ228"/>
  <c r="AH95" l="1"/>
  <c r="Q93"/>
  <c r="M93"/>
  <c r="Q228"/>
  <c r="S228"/>
  <c r="AA228"/>
  <c r="Y228"/>
  <c r="AH229"/>
  <c r="AI229"/>
  <c r="G228"/>
  <c r="N228"/>
  <c r="C228"/>
  <c r="M228"/>
  <c r="Z228"/>
  <c r="L228"/>
  <c r="F228"/>
  <c r="V228"/>
  <c r="U228"/>
  <c r="AC228"/>
  <c r="AJ229"/>
  <c r="AG229"/>
  <c r="AK229"/>
  <c r="R228"/>
  <c r="W228"/>
  <c r="D228"/>
  <c r="AE228" s="1"/>
  <c r="A229"/>
  <c r="B228"/>
  <c r="E228"/>
  <c r="AJ95" l="1"/>
  <c r="AI95" s="1"/>
  <c r="AG96" s="1"/>
  <c r="D229"/>
  <c r="AE229" s="1"/>
  <c r="N229"/>
  <c r="AJ230"/>
  <c r="AK230"/>
  <c r="B229"/>
  <c r="AG230"/>
  <c r="C229"/>
  <c r="Q229"/>
  <c r="R229"/>
  <c r="V229"/>
  <c r="F229"/>
  <c r="Y229"/>
  <c r="S229"/>
  <c r="A230"/>
  <c r="AA229"/>
  <c r="AI230"/>
  <c r="E229"/>
  <c r="L229"/>
  <c r="W229"/>
  <c r="M229"/>
  <c r="G229"/>
  <c r="U229"/>
  <c r="Z229"/>
  <c r="AH230"/>
  <c r="AC229"/>
  <c r="AK95" l="1"/>
  <c r="Q94" s="1"/>
  <c r="AH96"/>
  <c r="S230"/>
  <c r="AA230"/>
  <c r="AJ231"/>
  <c r="V230"/>
  <c r="AH231"/>
  <c r="F230"/>
  <c r="M230"/>
  <c r="L230"/>
  <c r="A231"/>
  <c r="Q230"/>
  <c r="D230"/>
  <c r="AE230" s="1"/>
  <c r="AI231"/>
  <c r="AC230"/>
  <c r="AK231"/>
  <c r="Z230"/>
  <c r="N230"/>
  <c r="C230"/>
  <c r="Y230"/>
  <c r="W230"/>
  <c r="G230"/>
  <c r="E230"/>
  <c r="U230"/>
  <c r="B230"/>
  <c r="AG231"/>
  <c r="R230"/>
  <c r="M94" l="1"/>
  <c r="AJ96"/>
  <c r="AI96" s="1"/>
  <c r="AG97" s="1"/>
  <c r="AA231"/>
  <c r="C231"/>
  <c r="E231"/>
  <c r="AG232"/>
  <c r="V231"/>
  <c r="Z231"/>
  <c r="B231"/>
  <c r="G231"/>
  <c r="AJ232"/>
  <c r="R231"/>
  <c r="AH232"/>
  <c r="Q231"/>
  <c r="W231"/>
  <c r="M231"/>
  <c r="L231"/>
  <c r="AC231"/>
  <c r="D231"/>
  <c r="AE231" s="1"/>
  <c r="F231"/>
  <c r="N231"/>
  <c r="S231"/>
  <c r="A232"/>
  <c r="U231"/>
  <c r="AK232"/>
  <c r="Y231"/>
  <c r="AI232"/>
  <c r="AK96" l="1"/>
  <c r="AH97"/>
  <c r="M232"/>
  <c r="N232"/>
  <c r="Y232"/>
  <c r="E232"/>
  <c r="B232"/>
  <c r="U232"/>
  <c r="L232"/>
  <c r="V232"/>
  <c r="A233"/>
  <c r="AI233"/>
  <c r="S232"/>
  <c r="C232"/>
  <c r="G232"/>
  <c r="AA232"/>
  <c r="AH233"/>
  <c r="F232"/>
  <c r="AG233"/>
  <c r="D232"/>
  <c r="AE232" s="1"/>
  <c r="AC232"/>
  <c r="R232"/>
  <c r="AJ233"/>
  <c r="Q232"/>
  <c r="W232"/>
  <c r="Z232"/>
  <c r="AK233"/>
  <c r="Q95" l="1"/>
  <c r="M95"/>
  <c r="AJ97"/>
  <c r="AI97" s="1"/>
  <c r="AG234"/>
  <c r="A234"/>
  <c r="AI234"/>
  <c r="AK234"/>
  <c r="Q233"/>
  <c r="F233"/>
  <c r="AJ234"/>
  <c r="W233"/>
  <c r="U233"/>
  <c r="V233"/>
  <c r="AA233"/>
  <c r="N233"/>
  <c r="D233"/>
  <c r="AE233" s="1"/>
  <c r="B233"/>
  <c r="L233"/>
  <c r="AC233"/>
  <c r="R233"/>
  <c r="C233"/>
  <c r="Y233"/>
  <c r="E233"/>
  <c r="Z233"/>
  <c r="G233"/>
  <c r="AH234"/>
  <c r="S233"/>
  <c r="M233"/>
  <c r="AG98" l="1"/>
  <c r="AK97"/>
  <c r="Q234"/>
  <c r="W234"/>
  <c r="Z234"/>
  <c r="A235"/>
  <c r="D234"/>
  <c r="AE234" s="1"/>
  <c r="R234"/>
  <c r="AH235"/>
  <c r="G234"/>
  <c r="U234"/>
  <c r="C234"/>
  <c r="AA234"/>
  <c r="F234"/>
  <c r="S234"/>
  <c r="AI235"/>
  <c r="AJ235"/>
  <c r="M234"/>
  <c r="AK235"/>
  <c r="N234"/>
  <c r="L234"/>
  <c r="AG235"/>
  <c r="Y234"/>
  <c r="AC234"/>
  <c r="E234"/>
  <c r="V234"/>
  <c r="B234"/>
  <c r="AH98" l="1"/>
  <c r="Q96"/>
  <c r="M96"/>
  <c r="L235"/>
  <c r="E235"/>
  <c r="F235"/>
  <c r="W235"/>
  <c r="AA235"/>
  <c r="D235"/>
  <c r="AE235" s="1"/>
  <c r="V235"/>
  <c r="Q235"/>
  <c r="AJ236"/>
  <c r="N235"/>
  <c r="AH236"/>
  <c r="Z235"/>
  <c r="AI236"/>
  <c r="S235"/>
  <c r="C235"/>
  <c r="AC235"/>
  <c r="G235"/>
  <c r="AG236"/>
  <c r="M235"/>
  <c r="Y235"/>
  <c r="A236"/>
  <c r="AK236"/>
  <c r="B235"/>
  <c r="U235"/>
  <c r="R235"/>
  <c r="AJ98" l="1"/>
  <c r="AI98" s="1"/>
  <c r="AI237"/>
  <c r="AC236"/>
  <c r="L236"/>
  <c r="N236"/>
  <c r="V236"/>
  <c r="C236"/>
  <c r="AK237"/>
  <c r="F236"/>
  <c r="R236"/>
  <c r="M236"/>
  <c r="U236"/>
  <c r="B236"/>
  <c r="E236"/>
  <c r="D236"/>
  <c r="AE236" s="1"/>
  <c r="Z236"/>
  <c r="AG237"/>
  <c r="AJ237"/>
  <c r="G236"/>
  <c r="AH237"/>
  <c r="W236"/>
  <c r="S236"/>
  <c r="Q236"/>
  <c r="A237"/>
  <c r="Y236"/>
  <c r="AA236"/>
  <c r="AG99" l="1"/>
  <c r="AK98"/>
  <c r="AH238"/>
  <c r="AA237"/>
  <c r="R237"/>
  <c r="V237"/>
  <c r="AK238"/>
  <c r="Y237"/>
  <c r="G237"/>
  <c r="U237"/>
  <c r="W237"/>
  <c r="Z237"/>
  <c r="M237"/>
  <c r="B237"/>
  <c r="L237"/>
  <c r="AI238"/>
  <c r="N237"/>
  <c r="Q237"/>
  <c r="S237"/>
  <c r="AJ238"/>
  <c r="E237"/>
  <c r="C237"/>
  <c r="D237"/>
  <c r="AE237" s="1"/>
  <c r="AG238"/>
  <c r="AC237"/>
  <c r="A238"/>
  <c r="F237"/>
  <c r="AH99" l="1"/>
  <c r="M97"/>
  <c r="Q97"/>
  <c r="V238"/>
  <c r="A239"/>
  <c r="W238"/>
  <c r="AK239"/>
  <c r="U238"/>
  <c r="Q238"/>
  <c r="L238"/>
  <c r="S238"/>
  <c r="AJ239"/>
  <c r="R238"/>
  <c r="D238"/>
  <c r="AE238" s="1"/>
  <c r="N238"/>
  <c r="Y238"/>
  <c r="AC238"/>
  <c r="AH239"/>
  <c r="E238"/>
  <c r="B238"/>
  <c r="AG239"/>
  <c r="AA238"/>
  <c r="Z238"/>
  <c r="AI239"/>
  <c r="F238"/>
  <c r="M238"/>
  <c r="C238"/>
  <c r="G238"/>
  <c r="AJ99" l="1"/>
  <c r="AI99" s="1"/>
  <c r="G239"/>
  <c r="D239"/>
  <c r="AE239" s="1"/>
  <c r="B239"/>
  <c r="A240"/>
  <c r="N239"/>
  <c r="Z239"/>
  <c r="S239"/>
  <c r="L239"/>
  <c r="AC239"/>
  <c r="Y239"/>
  <c r="F239"/>
  <c r="R239"/>
  <c r="AK240"/>
  <c r="AA239"/>
  <c r="AH240"/>
  <c r="Q239"/>
  <c r="AG240"/>
  <c r="C239"/>
  <c r="V239"/>
  <c r="AI240"/>
  <c r="M239"/>
  <c r="AJ240"/>
  <c r="W239"/>
  <c r="E239"/>
  <c r="U239"/>
  <c r="AG100" l="1"/>
  <c r="AK99"/>
  <c r="Q240"/>
  <c r="Y240"/>
  <c r="C240"/>
  <c r="B240"/>
  <c r="AH241"/>
  <c r="M240"/>
  <c r="L240"/>
  <c r="D240"/>
  <c r="AE240" s="1"/>
  <c r="A241"/>
  <c r="F240"/>
  <c r="AK241"/>
  <c r="N240"/>
  <c r="Z240"/>
  <c r="R240"/>
  <c r="S240"/>
  <c r="AI241"/>
  <c r="AA240"/>
  <c r="AC240"/>
  <c r="U240"/>
  <c r="G240"/>
  <c r="W240"/>
  <c r="E240"/>
  <c r="AG241"/>
  <c r="V240"/>
  <c r="AJ241"/>
  <c r="AH100" l="1"/>
  <c r="M98"/>
  <c r="Q98"/>
  <c r="F241"/>
  <c r="AC241"/>
  <c r="U241"/>
  <c r="AI242"/>
  <c r="V241"/>
  <c r="R241"/>
  <c r="C241"/>
  <c r="M241"/>
  <c r="AA241"/>
  <c r="N241"/>
  <c r="Y241"/>
  <c r="Z241"/>
  <c r="B241"/>
  <c r="AG242"/>
  <c r="G241"/>
  <c r="S241"/>
  <c r="AK242"/>
  <c r="D241"/>
  <c r="AE241" s="1"/>
  <c r="E241"/>
  <c r="A242"/>
  <c r="W241"/>
  <c r="Q241"/>
  <c r="AH242"/>
  <c r="L241"/>
  <c r="AJ242"/>
  <c r="AJ100" l="1"/>
  <c r="AI100" s="1"/>
  <c r="AH243"/>
  <c r="R242"/>
  <c r="AJ243"/>
  <c r="C242"/>
  <c r="AI243"/>
  <c r="D242"/>
  <c r="AE242" s="1"/>
  <c r="A243"/>
  <c r="W242"/>
  <c r="Q242"/>
  <c r="N242"/>
  <c r="V242"/>
  <c r="E242"/>
  <c r="AK243"/>
  <c r="AA242"/>
  <c r="Z242"/>
  <c r="F242"/>
  <c r="AC242"/>
  <c r="L242"/>
  <c r="G242"/>
  <c r="B242"/>
  <c r="S242"/>
  <c r="M242"/>
  <c r="AG243"/>
  <c r="Y242"/>
  <c r="U242"/>
  <c r="AG101" l="1"/>
  <c r="AK100"/>
  <c r="AK244"/>
  <c r="F243"/>
  <c r="Q243"/>
  <c r="Z243"/>
  <c r="R243"/>
  <c r="AH244"/>
  <c r="U243"/>
  <c r="C243"/>
  <c r="Y243"/>
  <c r="A244"/>
  <c r="AA243"/>
  <c r="AJ244"/>
  <c r="AG244"/>
  <c r="AC243"/>
  <c r="L243"/>
  <c r="E243"/>
  <c r="V243"/>
  <c r="D243"/>
  <c r="AE243" s="1"/>
  <c r="N243"/>
  <c r="B243"/>
  <c r="M243"/>
  <c r="W243"/>
  <c r="G243"/>
  <c r="AI244"/>
  <c r="S243"/>
  <c r="M99" l="1"/>
  <c r="Q99"/>
  <c r="AH101"/>
  <c r="G244"/>
  <c r="U244"/>
  <c r="F244"/>
  <c r="C244"/>
  <c r="M244"/>
  <c r="N244"/>
  <c r="AA244"/>
  <c r="S244"/>
  <c r="V244"/>
  <c r="AI245"/>
  <c r="R244"/>
  <c r="AK245"/>
  <c r="B244"/>
  <c r="D244"/>
  <c r="AE244" s="1"/>
  <c r="A245"/>
  <c r="E244"/>
  <c r="Q244"/>
  <c r="Y244"/>
  <c r="AH245"/>
  <c r="L244"/>
  <c r="W244"/>
  <c r="AJ245"/>
  <c r="AC244"/>
  <c r="AG245"/>
  <c r="Z244"/>
  <c r="AJ101" l="1"/>
  <c r="AI101" s="1"/>
  <c r="AG102" s="1"/>
  <c r="S245"/>
  <c r="M245"/>
  <c r="U245"/>
  <c r="Y245"/>
  <c r="W245"/>
  <c r="AK246"/>
  <c r="A246"/>
  <c r="AA245"/>
  <c r="Z245"/>
  <c r="AH246"/>
  <c r="B245"/>
  <c r="AJ246"/>
  <c r="D245"/>
  <c r="AE245" s="1"/>
  <c r="V245"/>
  <c r="R245"/>
  <c r="F245"/>
  <c r="AC245"/>
  <c r="N245"/>
  <c r="AI246"/>
  <c r="E245"/>
  <c r="G245"/>
  <c r="Q245"/>
  <c r="AG246"/>
  <c r="L245"/>
  <c r="C245"/>
  <c r="AK101" l="1"/>
  <c r="AH102"/>
  <c r="AJ247"/>
  <c r="A247"/>
  <c r="F246"/>
  <c r="Y246"/>
  <c r="AA246"/>
  <c r="W246"/>
  <c r="S246"/>
  <c r="V246"/>
  <c r="Z246"/>
  <c r="Q246"/>
  <c r="AK247"/>
  <c r="M246"/>
  <c r="U246"/>
  <c r="AC246"/>
  <c r="N246"/>
  <c r="R246"/>
  <c r="AG247"/>
  <c r="L246"/>
  <c r="AH247"/>
  <c r="B246"/>
  <c r="AI247"/>
  <c r="G246"/>
  <c r="C246"/>
  <c r="D246"/>
  <c r="AE246" s="1"/>
  <c r="E246"/>
  <c r="M100" l="1"/>
  <c r="Q100"/>
  <c r="AJ102"/>
  <c r="AI102" s="1"/>
  <c r="AG103" s="1"/>
  <c r="W247"/>
  <c r="Y247"/>
  <c r="U247"/>
  <c r="F247"/>
  <c r="C247"/>
  <c r="M247"/>
  <c r="D247"/>
  <c r="AE247" s="1"/>
  <c r="AJ248"/>
  <c r="AC247"/>
  <c r="B247"/>
  <c r="Q247"/>
  <c r="E247"/>
  <c r="AK248"/>
  <c r="Z247"/>
  <c r="AA247"/>
  <c r="AG248"/>
  <c r="N247"/>
  <c r="G247"/>
  <c r="AI248"/>
  <c r="V247"/>
  <c r="R247"/>
  <c r="AH248"/>
  <c r="L247"/>
  <c r="S247"/>
  <c r="A248"/>
  <c r="AH103" l="1"/>
  <c r="AJ103" s="1"/>
  <c r="AI103" s="1"/>
  <c r="AK103" s="1"/>
  <c r="AK102"/>
  <c r="M101" s="1"/>
  <c r="AK249"/>
  <c r="W248"/>
  <c r="A249"/>
  <c r="V248"/>
  <c r="AI249"/>
  <c r="Y248"/>
  <c r="Z248"/>
  <c r="AH249"/>
  <c r="AA248"/>
  <c r="R248"/>
  <c r="L248"/>
  <c r="AG249"/>
  <c r="C248"/>
  <c r="U248"/>
  <c r="AC248"/>
  <c r="F248"/>
  <c r="D248"/>
  <c r="AE248" s="1"/>
  <c r="M248"/>
  <c r="B248"/>
  <c r="E248"/>
  <c r="G248"/>
  <c r="AJ249"/>
  <c r="S248"/>
  <c r="N248"/>
  <c r="Q248"/>
  <c r="AG104" l="1"/>
  <c r="Q101"/>
  <c r="M102"/>
  <c r="Q102"/>
  <c r="W249"/>
  <c r="AI250"/>
  <c r="C249"/>
  <c r="Z249"/>
  <c r="V249"/>
  <c r="B249"/>
  <c r="L249"/>
  <c r="AG250"/>
  <c r="U249"/>
  <c r="AH250"/>
  <c r="M249"/>
  <c r="AC249"/>
  <c r="Q249"/>
  <c r="E249"/>
  <c r="A250"/>
  <c r="AK250"/>
  <c r="Y249"/>
  <c r="F249"/>
  <c r="N249"/>
  <c r="R249"/>
  <c r="AJ250"/>
  <c r="D249"/>
  <c r="AE249" s="1"/>
  <c r="G249"/>
  <c r="AA249"/>
  <c r="S249"/>
  <c r="AH104" l="1"/>
  <c r="AG251"/>
  <c r="L250"/>
  <c r="E250"/>
  <c r="AC250"/>
  <c r="AI251"/>
  <c r="B250"/>
  <c r="Z250"/>
  <c r="G250"/>
  <c r="V250"/>
  <c r="AH251"/>
  <c r="Y250"/>
  <c r="AA250"/>
  <c r="R250"/>
  <c r="M250"/>
  <c r="Q250"/>
  <c r="W250"/>
  <c r="C250"/>
  <c r="AK251"/>
  <c r="S250"/>
  <c r="U250"/>
  <c r="N250"/>
  <c r="F250"/>
  <c r="D250"/>
  <c r="AE250" s="1"/>
  <c r="AJ251"/>
  <c r="A251"/>
  <c r="AJ104" l="1"/>
  <c r="AI104" s="1"/>
  <c r="AG105" s="1"/>
  <c r="G251"/>
  <c r="E251"/>
  <c r="W251"/>
  <c r="Q251"/>
  <c r="AI252"/>
  <c r="D251"/>
  <c r="AE251" s="1"/>
  <c r="F251"/>
  <c r="C251"/>
  <c r="AA251"/>
  <c r="V251"/>
  <c r="Y251"/>
  <c r="S251"/>
  <c r="AH252"/>
  <c r="L251"/>
  <c r="AC251"/>
  <c r="AJ252"/>
  <c r="B251"/>
  <c r="N251"/>
  <c r="A252"/>
  <c r="Z251"/>
  <c r="U251"/>
  <c r="R251"/>
  <c r="AK252"/>
  <c r="M251"/>
  <c r="AG252"/>
  <c r="AK104" l="1"/>
  <c r="M103" s="1"/>
  <c r="AH105"/>
  <c r="V252"/>
  <c r="AG253"/>
  <c r="R252"/>
  <c r="AJ253"/>
  <c r="AH253"/>
  <c r="B252"/>
  <c r="AI253"/>
  <c r="D252"/>
  <c r="AE252" s="1"/>
  <c r="Y252"/>
  <c r="C252"/>
  <c r="AA252"/>
  <c r="N252"/>
  <c r="G252"/>
  <c r="Z252"/>
  <c r="E252"/>
  <c r="S252"/>
  <c r="A253"/>
  <c r="AK253"/>
  <c r="F252"/>
  <c r="M252"/>
  <c r="Q252"/>
  <c r="L252"/>
  <c r="U252"/>
  <c r="W252"/>
  <c r="AC252"/>
  <c r="Q103" l="1"/>
  <c r="AJ105"/>
  <c r="AI105" s="1"/>
  <c r="L253"/>
  <c r="A254"/>
  <c r="V253"/>
  <c r="E253"/>
  <c r="R253"/>
  <c r="M253"/>
  <c r="AG254"/>
  <c r="F253"/>
  <c r="AC253"/>
  <c r="AK254"/>
  <c r="Z253"/>
  <c r="AH254"/>
  <c r="W253"/>
  <c r="S253"/>
  <c r="D253"/>
  <c r="AE253" s="1"/>
  <c r="N253"/>
  <c r="Q253"/>
  <c r="C253"/>
  <c r="U253"/>
  <c r="AA253"/>
  <c r="Y253"/>
  <c r="G253"/>
  <c r="AJ254"/>
  <c r="AI254"/>
  <c r="B253"/>
  <c r="AG106" l="1"/>
  <c r="AK105"/>
  <c r="W254"/>
  <c r="C254"/>
  <c r="AK255"/>
  <c r="AJ255"/>
  <c r="AC254"/>
  <c r="N254"/>
  <c r="D254"/>
  <c r="AE254" s="1"/>
  <c r="AH255"/>
  <c r="S254"/>
  <c r="B254"/>
  <c r="AG255"/>
  <c r="A255"/>
  <c r="AI255"/>
  <c r="E254"/>
  <c r="L254"/>
  <c r="AA254"/>
  <c r="F254"/>
  <c r="U254"/>
  <c r="G254"/>
  <c r="R254"/>
  <c r="M254"/>
  <c r="Y254"/>
  <c r="Z254"/>
  <c r="Q254"/>
  <c r="V254"/>
  <c r="Q104" l="1"/>
  <c r="M104"/>
  <c r="AH106"/>
  <c r="Z255"/>
  <c r="G255"/>
  <c r="L255"/>
  <c r="AC255"/>
  <c r="C255"/>
  <c r="AI256"/>
  <c r="Q255"/>
  <c r="B255"/>
  <c r="V255"/>
  <c r="AH256"/>
  <c r="M255"/>
  <c r="F255"/>
  <c r="Y255"/>
  <c r="E255"/>
  <c r="S255"/>
  <c r="AG256"/>
  <c r="AK256"/>
  <c r="D255"/>
  <c r="AE255" s="1"/>
  <c r="AA255"/>
  <c r="U255"/>
  <c r="A256"/>
  <c r="R255"/>
  <c r="W255"/>
  <c r="AJ256"/>
  <c r="N255"/>
  <c r="AJ106" l="1"/>
  <c r="AI106" s="1"/>
  <c r="D256"/>
  <c r="AE256" s="1"/>
  <c r="U256"/>
  <c r="M256"/>
  <c r="AH257"/>
  <c r="G256"/>
  <c r="AA256"/>
  <c r="N256"/>
  <c r="C256"/>
  <c r="AK257"/>
  <c r="Z256"/>
  <c r="F256"/>
  <c r="L256"/>
  <c r="AC256"/>
  <c r="AG257"/>
  <c r="R256"/>
  <c r="Y256"/>
  <c r="W256"/>
  <c r="A257"/>
  <c r="Q256"/>
  <c r="AJ257"/>
  <c r="V256"/>
  <c r="AI257"/>
  <c r="S256"/>
  <c r="E256"/>
  <c r="B256"/>
  <c r="AG107" l="1"/>
  <c r="AK106"/>
  <c r="C257"/>
  <c r="AG258"/>
  <c r="G257"/>
  <c r="W257"/>
  <c r="Q257"/>
  <c r="AJ258"/>
  <c r="AH258"/>
  <c r="S257"/>
  <c r="D257"/>
  <c r="AE257" s="1"/>
  <c r="Y257"/>
  <c r="L257"/>
  <c r="N257"/>
  <c r="AC257"/>
  <c r="AI258"/>
  <c r="Z257"/>
  <c r="F257"/>
  <c r="AA257"/>
  <c r="A258"/>
  <c r="R257"/>
  <c r="E257"/>
  <c r="M257"/>
  <c r="AK258"/>
  <c r="B257"/>
  <c r="V257"/>
  <c r="U257"/>
  <c r="Q105" l="1"/>
  <c r="M105"/>
  <c r="AH107"/>
  <c r="AI259"/>
  <c r="V258"/>
  <c r="AA258"/>
  <c r="C258"/>
  <c r="U258"/>
  <c r="AJ259"/>
  <c r="A259"/>
  <c r="M258"/>
  <c r="W258"/>
  <c r="Z258"/>
  <c r="Q258"/>
  <c r="AG259"/>
  <c r="D258"/>
  <c r="AE258" s="1"/>
  <c r="S258"/>
  <c r="R258"/>
  <c r="AH259"/>
  <c r="AK259"/>
  <c r="N258"/>
  <c r="L258"/>
  <c r="G258"/>
  <c r="AC258"/>
  <c r="B258"/>
  <c r="F258"/>
  <c r="E258"/>
  <c r="Y258"/>
  <c r="AJ107" l="1"/>
  <c r="AI107" s="1"/>
  <c r="U259"/>
  <c r="Z259"/>
  <c r="AG260"/>
  <c r="V259"/>
  <c r="E259"/>
  <c r="AJ260"/>
  <c r="AA259"/>
  <c r="Q259"/>
  <c r="AC259"/>
  <c r="L259"/>
  <c r="D259"/>
  <c r="AE259" s="1"/>
  <c r="Y259"/>
  <c r="G259"/>
  <c r="N259"/>
  <c r="S259"/>
  <c r="M259"/>
  <c r="A260"/>
  <c r="F259"/>
  <c r="C259"/>
  <c r="AH260"/>
  <c r="B259"/>
  <c r="AI260"/>
  <c r="AK260"/>
  <c r="R259"/>
  <c r="W259"/>
  <c r="AG108" l="1"/>
  <c r="AK107"/>
  <c r="R260"/>
  <c r="E260"/>
  <c r="B260"/>
  <c r="AI261"/>
  <c r="Y260"/>
  <c r="C260"/>
  <c r="V260"/>
  <c r="AG261"/>
  <c r="AC260"/>
  <c r="U260"/>
  <c r="Z260"/>
  <c r="Q260"/>
  <c r="A261"/>
  <c r="G260"/>
  <c r="AJ261"/>
  <c r="F260"/>
  <c r="W260"/>
  <c r="D260"/>
  <c r="AE260" s="1"/>
  <c r="L260"/>
  <c r="AA260"/>
  <c r="N260"/>
  <c r="M260"/>
  <c r="AH261"/>
  <c r="S260"/>
  <c r="AK261"/>
  <c r="M106" l="1"/>
  <c r="Q106"/>
  <c r="AH108"/>
  <c r="F261"/>
  <c r="A262"/>
  <c r="AJ262"/>
  <c r="D261"/>
  <c r="AE261" s="1"/>
  <c r="C261"/>
  <c r="G261"/>
  <c r="AG262"/>
  <c r="U261"/>
  <c r="W261"/>
  <c r="Z261"/>
  <c r="AI262"/>
  <c r="R261"/>
  <c r="L261"/>
  <c r="Y261"/>
  <c r="AK262"/>
  <c r="B261"/>
  <c r="AA261"/>
  <c r="V261"/>
  <c r="N261"/>
  <c r="S261"/>
  <c r="M261"/>
  <c r="AC261"/>
  <c r="E261"/>
  <c r="AH262"/>
  <c r="Q261"/>
  <c r="AJ108" l="1"/>
  <c r="AI108" s="1"/>
  <c r="AG109" s="1"/>
  <c r="W262"/>
  <c r="AH263"/>
  <c r="L262"/>
  <c r="D262"/>
  <c r="AE262" s="1"/>
  <c r="G262"/>
  <c r="F262"/>
  <c r="M262"/>
  <c r="AC262"/>
  <c r="Y262"/>
  <c r="A263"/>
  <c r="U262"/>
  <c r="N262"/>
  <c r="B262"/>
  <c r="E262"/>
  <c r="S262"/>
  <c r="AK263"/>
  <c r="Q262"/>
  <c r="AG263"/>
  <c r="V262"/>
  <c r="AJ263"/>
  <c r="Z262"/>
  <c r="R262"/>
  <c r="C262"/>
  <c r="AI263"/>
  <c r="AA262"/>
  <c r="AH109" l="1"/>
  <c r="AK108"/>
  <c r="A264"/>
  <c r="D263"/>
  <c r="AE263" s="1"/>
  <c r="AI264"/>
  <c r="M263"/>
  <c r="AJ264"/>
  <c r="B263"/>
  <c r="F263"/>
  <c r="G263"/>
  <c r="U263"/>
  <c r="N263"/>
  <c r="R263"/>
  <c r="Z263"/>
  <c r="E263"/>
  <c r="AH264"/>
  <c r="W263"/>
  <c r="Q263"/>
  <c r="L263"/>
  <c r="AK264"/>
  <c r="V263"/>
  <c r="AA263"/>
  <c r="Y263"/>
  <c r="AC263"/>
  <c r="AG264"/>
  <c r="C263"/>
  <c r="S263"/>
  <c r="M107" l="1"/>
  <c r="Q107"/>
  <c r="AJ109"/>
  <c r="AI109" s="1"/>
  <c r="G264"/>
  <c r="C264"/>
  <c r="N264"/>
  <c r="Z264"/>
  <c r="S264"/>
  <c r="U264"/>
  <c r="D264"/>
  <c r="AE264" s="1"/>
  <c r="Y264"/>
  <c r="Q264"/>
  <c r="F264"/>
  <c r="R264"/>
  <c r="AK265"/>
  <c r="E264"/>
  <c r="AH265"/>
  <c r="V264"/>
  <c r="AG265"/>
  <c r="AJ265"/>
  <c r="B264"/>
  <c r="AC264"/>
  <c r="L264"/>
  <c r="AI265"/>
  <c r="M264"/>
  <c r="A265"/>
  <c r="AA264"/>
  <c r="W264"/>
  <c r="AG110" l="1"/>
  <c r="AH110" s="1"/>
  <c r="AK109"/>
  <c r="Q108" s="1"/>
  <c r="G265"/>
  <c r="E265"/>
  <c r="S265"/>
  <c r="L265"/>
  <c r="AJ266"/>
  <c r="D265"/>
  <c r="AE265" s="1"/>
  <c r="AH266"/>
  <c r="AA265"/>
  <c r="F265"/>
  <c r="Y265"/>
  <c r="M265"/>
  <c r="B265"/>
  <c r="AI266"/>
  <c r="N265"/>
  <c r="V265"/>
  <c r="Z265"/>
  <c r="C265"/>
  <c r="A266"/>
  <c r="R265"/>
  <c r="U265"/>
  <c r="W265"/>
  <c r="AG266"/>
  <c r="AK266"/>
  <c r="AC265"/>
  <c r="Q265"/>
  <c r="M108" l="1"/>
  <c r="AJ110"/>
  <c r="AI110" s="1"/>
  <c r="G266"/>
  <c r="F266"/>
  <c r="AJ267"/>
  <c r="AG267"/>
  <c r="L266"/>
  <c r="Z266"/>
  <c r="E266"/>
  <c r="D266"/>
  <c r="AE266" s="1"/>
  <c r="A267"/>
  <c r="N266"/>
  <c r="R266"/>
  <c r="Y266"/>
  <c r="AH267"/>
  <c r="S266"/>
  <c r="Q266"/>
  <c r="AI267"/>
  <c r="U266"/>
  <c r="AC266"/>
  <c r="AK267"/>
  <c r="W266"/>
  <c r="AA266"/>
  <c r="V266"/>
  <c r="C266"/>
  <c r="M266"/>
  <c r="B266"/>
  <c r="AG111" l="1"/>
  <c r="AH111" s="1"/>
  <c r="AK110"/>
  <c r="Q109" s="1"/>
  <c r="AI268"/>
  <c r="G267"/>
  <c r="AJ268"/>
  <c r="AH268"/>
  <c r="AK268"/>
  <c r="L267"/>
  <c r="E267"/>
  <c r="Q267"/>
  <c r="U267"/>
  <c r="A268"/>
  <c r="D267"/>
  <c r="AE267" s="1"/>
  <c r="C267"/>
  <c r="F267"/>
  <c r="AA267"/>
  <c r="S267"/>
  <c r="W267"/>
  <c r="B267"/>
  <c r="AG268"/>
  <c r="N267"/>
  <c r="M267"/>
  <c r="Z267"/>
  <c r="Y267"/>
  <c r="V267"/>
  <c r="AC267"/>
  <c r="R267"/>
  <c r="M109" l="1"/>
  <c r="AJ111"/>
  <c r="AI111" s="1"/>
  <c r="AG112" s="1"/>
  <c r="AA268"/>
  <c r="U268"/>
  <c r="AH269"/>
  <c r="D268"/>
  <c r="AE268" s="1"/>
  <c r="R268"/>
  <c r="B268"/>
  <c r="M268"/>
  <c r="V268"/>
  <c r="Y268"/>
  <c r="F268"/>
  <c r="Q268"/>
  <c r="S268"/>
  <c r="E268"/>
  <c r="L268"/>
  <c r="AG269"/>
  <c r="AK269"/>
  <c r="A269"/>
  <c r="AI269"/>
  <c r="C268"/>
  <c r="AJ269"/>
  <c r="Z268"/>
  <c r="W268"/>
  <c r="G268"/>
  <c r="AC268"/>
  <c r="N268"/>
  <c r="AK111" l="1"/>
  <c r="AH112"/>
  <c r="Z269"/>
  <c r="L269"/>
  <c r="AK270"/>
  <c r="R269"/>
  <c r="AJ270"/>
  <c r="N269"/>
  <c r="AA269"/>
  <c r="V269"/>
  <c r="AH270"/>
  <c r="G269"/>
  <c r="AG270"/>
  <c r="S269"/>
  <c r="AC269"/>
  <c r="Y269"/>
  <c r="F269"/>
  <c r="C269"/>
  <c r="A270"/>
  <c r="Q269"/>
  <c r="U269"/>
  <c r="W269"/>
  <c r="AI270"/>
  <c r="B269"/>
  <c r="D269"/>
  <c r="AE269" s="1"/>
  <c r="M269"/>
  <c r="E269"/>
  <c r="AJ112" l="1"/>
  <c r="AI112" s="1"/>
  <c r="AG113" s="1"/>
  <c r="Q110"/>
  <c r="M110"/>
  <c r="S270"/>
  <c r="A271"/>
  <c r="F270"/>
  <c r="AK271"/>
  <c r="N270"/>
  <c r="R270"/>
  <c r="B270"/>
  <c r="AG271"/>
  <c r="U270"/>
  <c r="AI271"/>
  <c r="AC270"/>
  <c r="W270"/>
  <c r="C270"/>
  <c r="D270"/>
  <c r="AE270" s="1"/>
  <c r="AJ271"/>
  <c r="Z270"/>
  <c r="M270"/>
  <c r="AH271"/>
  <c r="L270"/>
  <c r="V270"/>
  <c r="AA270"/>
  <c r="Q270"/>
  <c r="E270"/>
  <c r="Y270"/>
  <c r="G270"/>
  <c r="AK112" l="1"/>
  <c r="Q111" s="1"/>
  <c r="AH113"/>
  <c r="AK272"/>
  <c r="AI272"/>
  <c r="D271"/>
  <c r="AE271" s="1"/>
  <c r="G271"/>
  <c r="Z271"/>
  <c r="Y271"/>
  <c r="L271"/>
  <c r="A272"/>
  <c r="U271"/>
  <c r="E271"/>
  <c r="R271"/>
  <c r="AC271"/>
  <c r="W271"/>
  <c r="V271"/>
  <c r="B271"/>
  <c r="AA271"/>
  <c r="S271"/>
  <c r="Q271"/>
  <c r="N271"/>
  <c r="AJ272"/>
  <c r="AG272"/>
  <c r="C271"/>
  <c r="M271"/>
  <c r="AH272"/>
  <c r="F271"/>
  <c r="M111" l="1"/>
  <c r="AJ113"/>
  <c r="AI113" s="1"/>
  <c r="AG114" s="1"/>
  <c r="Q272"/>
  <c r="Y272"/>
  <c r="AI273"/>
  <c r="AC272"/>
  <c r="F272"/>
  <c r="R272"/>
  <c r="W272"/>
  <c r="AH273"/>
  <c r="S272"/>
  <c r="U272"/>
  <c r="AJ273"/>
  <c r="AG273"/>
  <c r="Z272"/>
  <c r="V272"/>
  <c r="AA272"/>
  <c r="N272"/>
  <c r="B272"/>
  <c r="A273"/>
  <c r="M272"/>
  <c r="G272"/>
  <c r="AK273"/>
  <c r="D272"/>
  <c r="AE272" s="1"/>
  <c r="E272"/>
  <c r="L272"/>
  <c r="C272"/>
  <c r="AK113" l="1"/>
  <c r="AH114"/>
  <c r="AI274"/>
  <c r="C273"/>
  <c r="B273"/>
  <c r="AC273"/>
  <c r="W273"/>
  <c r="AG274"/>
  <c r="V273"/>
  <c r="R273"/>
  <c r="M273"/>
  <c r="AK274"/>
  <c r="A274"/>
  <c r="AJ274"/>
  <c r="G273"/>
  <c r="Q273"/>
  <c r="D273"/>
  <c r="AE273" s="1"/>
  <c r="AA273"/>
  <c r="N273"/>
  <c r="L273"/>
  <c r="F273"/>
  <c r="Z273"/>
  <c r="E273"/>
  <c r="S273"/>
  <c r="Y273"/>
  <c r="AH274"/>
  <c r="U273"/>
  <c r="AJ114" l="1"/>
  <c r="AI114" s="1"/>
  <c r="Q112"/>
  <c r="M112"/>
  <c r="C274"/>
  <c r="AK275"/>
  <c r="AI275"/>
  <c r="AC274"/>
  <c r="L274"/>
  <c r="Y274"/>
  <c r="D274"/>
  <c r="AE274" s="1"/>
  <c r="Q274"/>
  <c r="W274"/>
  <c r="AG275"/>
  <c r="V274"/>
  <c r="Z274"/>
  <c r="B274"/>
  <c r="M274"/>
  <c r="E274"/>
  <c r="G274"/>
  <c r="AA274"/>
  <c r="AJ275"/>
  <c r="R274"/>
  <c r="S274"/>
  <c r="U274"/>
  <c r="A275"/>
  <c r="AH275"/>
  <c r="F274"/>
  <c r="N274"/>
  <c r="AG115" l="1"/>
  <c r="AK114"/>
  <c r="M275"/>
  <c r="N275"/>
  <c r="Y275"/>
  <c r="F275"/>
  <c r="W275"/>
  <c r="AH276"/>
  <c r="AJ276"/>
  <c r="E275"/>
  <c r="V275"/>
  <c r="D275"/>
  <c r="AE275" s="1"/>
  <c r="U275"/>
  <c r="S275"/>
  <c r="Q275"/>
  <c r="Z275"/>
  <c r="G275"/>
  <c r="AG276"/>
  <c r="AI276"/>
  <c r="A276"/>
  <c r="C275"/>
  <c r="AK276"/>
  <c r="L275"/>
  <c r="B275"/>
  <c r="R275"/>
  <c r="AA275"/>
  <c r="AC275"/>
  <c r="Q113" l="1"/>
  <c r="M113"/>
  <c r="AH115"/>
  <c r="R276"/>
  <c r="AI277"/>
  <c r="W276"/>
  <c r="M276"/>
  <c r="AA276"/>
  <c r="AK277"/>
  <c r="E276"/>
  <c r="Q276"/>
  <c r="A277"/>
  <c r="Z276"/>
  <c r="S276"/>
  <c r="L276"/>
  <c r="U276"/>
  <c r="AH277"/>
  <c r="AJ277"/>
  <c r="F276"/>
  <c r="G276"/>
  <c r="C276"/>
  <c r="AC276"/>
  <c r="AG277"/>
  <c r="N276"/>
  <c r="V276"/>
  <c r="D276"/>
  <c r="AE276" s="1"/>
  <c r="B276"/>
  <c r="Y276"/>
  <c r="AJ115" l="1"/>
  <c r="AI115" s="1"/>
  <c r="A278"/>
  <c r="AK278"/>
  <c r="Y277"/>
  <c r="E277"/>
  <c r="U277"/>
  <c r="AG278"/>
  <c r="B277"/>
  <c r="F277"/>
  <c r="G277"/>
  <c r="N277"/>
  <c r="V277"/>
  <c r="AH278"/>
  <c r="AA277"/>
  <c r="W277"/>
  <c r="Q277"/>
  <c r="AC277"/>
  <c r="S277"/>
  <c r="C277"/>
  <c r="L277"/>
  <c r="Z277"/>
  <c r="AJ278"/>
  <c r="AI278"/>
  <c r="D277"/>
  <c r="AE277" s="1"/>
  <c r="R277"/>
  <c r="M277"/>
  <c r="AG116" l="1"/>
  <c r="AK115"/>
  <c r="V278"/>
  <c r="U278"/>
  <c r="AG279"/>
  <c r="AC278"/>
  <c r="F278"/>
  <c r="Y278"/>
  <c r="G278"/>
  <c r="D278"/>
  <c r="AE278" s="1"/>
  <c r="L278"/>
  <c r="AJ279"/>
  <c r="Q278"/>
  <c r="M278"/>
  <c r="W278"/>
  <c r="Z278"/>
  <c r="AI279"/>
  <c r="AH279"/>
  <c r="A279"/>
  <c r="N278"/>
  <c r="R278"/>
  <c r="C278"/>
  <c r="AA278"/>
  <c r="S278"/>
  <c r="AK279"/>
  <c r="B278"/>
  <c r="E278"/>
  <c r="Q114" l="1"/>
  <c r="M114"/>
  <c r="AH116"/>
  <c r="F279"/>
  <c r="V279"/>
  <c r="G279"/>
  <c r="E279"/>
  <c r="U279"/>
  <c r="AG280"/>
  <c r="Y279"/>
  <c r="L279"/>
  <c r="C279"/>
  <c r="S279"/>
  <c r="A280"/>
  <c r="Z279"/>
  <c r="W279"/>
  <c r="D279"/>
  <c r="AE279" s="1"/>
  <c r="AA279"/>
  <c r="AI280"/>
  <c r="AC279"/>
  <c r="M279"/>
  <c r="R279"/>
  <c r="AK280"/>
  <c r="AJ280"/>
  <c r="N279"/>
  <c r="B279"/>
  <c r="Q279"/>
  <c r="AH280"/>
  <c r="AJ116" l="1"/>
  <c r="AI116" s="1"/>
  <c r="Q280"/>
  <c r="B280"/>
  <c r="V280"/>
  <c r="AC280"/>
  <c r="Z280"/>
  <c r="A281"/>
  <c r="L280"/>
  <c r="R280"/>
  <c r="AJ281"/>
  <c r="AH281"/>
  <c r="N280"/>
  <c r="M280"/>
  <c r="E280"/>
  <c r="U280"/>
  <c r="W280"/>
  <c r="G280"/>
  <c r="D280"/>
  <c r="AE280" s="1"/>
  <c r="AG281"/>
  <c r="AK281"/>
  <c r="C280"/>
  <c r="AA280"/>
  <c r="F280"/>
  <c r="Y280"/>
  <c r="AI281"/>
  <c r="S280"/>
  <c r="AG117" l="1"/>
  <c r="AH117" s="1"/>
  <c r="AK116"/>
  <c r="M115" s="1"/>
  <c r="Q281"/>
  <c r="AC281"/>
  <c r="AK282"/>
  <c r="A282"/>
  <c r="L281"/>
  <c r="C281"/>
  <c r="AH282"/>
  <c r="N281"/>
  <c r="E281"/>
  <c r="V281"/>
  <c r="G281"/>
  <c r="AG282"/>
  <c r="Y281"/>
  <c r="Z281"/>
  <c r="R281"/>
  <c r="U281"/>
  <c r="F281"/>
  <c r="AA281"/>
  <c r="D281"/>
  <c r="AE281" s="1"/>
  <c r="AJ282"/>
  <c r="B281"/>
  <c r="AI282"/>
  <c r="W281"/>
  <c r="M281"/>
  <c r="S281"/>
  <c r="Q115" l="1"/>
  <c r="AJ117"/>
  <c r="AI117" s="1"/>
  <c r="AG118" s="1"/>
  <c r="V282"/>
  <c r="AI283"/>
  <c r="F282"/>
  <c r="U282"/>
  <c r="AK283"/>
  <c r="E282"/>
  <c r="L282"/>
  <c r="C282"/>
  <c r="S282"/>
  <c r="M282"/>
  <c r="AC282"/>
  <c r="W282"/>
  <c r="AA282"/>
  <c r="AG283"/>
  <c r="R282"/>
  <c r="N282"/>
  <c r="G282"/>
  <c r="AH283"/>
  <c r="Y282"/>
  <c r="D282"/>
  <c r="AE282" s="1"/>
  <c r="B282"/>
  <c r="A283"/>
  <c r="AJ283"/>
  <c r="Z282"/>
  <c r="Q282"/>
  <c r="AH118" l="1"/>
  <c r="AK117"/>
  <c r="AA283"/>
  <c r="V283"/>
  <c r="M283"/>
  <c r="S283"/>
  <c r="AK284"/>
  <c r="U283"/>
  <c r="B283"/>
  <c r="AI284"/>
  <c r="F283"/>
  <c r="A284"/>
  <c r="E283"/>
  <c r="AJ284"/>
  <c r="C283"/>
  <c r="W283"/>
  <c r="Z283"/>
  <c r="N283"/>
  <c r="Y283"/>
  <c r="D283"/>
  <c r="AE283" s="1"/>
  <c r="AG284"/>
  <c r="AH284"/>
  <c r="L283"/>
  <c r="R283"/>
  <c r="G283"/>
  <c r="Q283"/>
  <c r="AC283"/>
  <c r="Q116" l="1"/>
  <c r="M116"/>
  <c r="AJ118"/>
  <c r="AI118" s="1"/>
  <c r="B284"/>
  <c r="AK285"/>
  <c r="Y284"/>
  <c r="G284"/>
  <c r="S284"/>
  <c r="AH285"/>
  <c r="M284"/>
  <c r="AA284"/>
  <c r="AC284"/>
  <c r="Z284"/>
  <c r="U284"/>
  <c r="W284"/>
  <c r="V284"/>
  <c r="A285"/>
  <c r="F284"/>
  <c r="L284"/>
  <c r="E284"/>
  <c r="AJ285"/>
  <c r="C284"/>
  <c r="R284"/>
  <c r="D284"/>
  <c r="AE284" s="1"/>
  <c r="AI285"/>
  <c r="Q284"/>
  <c r="N284"/>
  <c r="AG285"/>
  <c r="AG119" l="1"/>
  <c r="AK118"/>
  <c r="S285"/>
  <c r="AK286"/>
  <c r="R285"/>
  <c r="C285"/>
  <c r="V285"/>
  <c r="AG286"/>
  <c r="D285"/>
  <c r="AE285" s="1"/>
  <c r="AJ286"/>
  <c r="AI286"/>
  <c r="B285"/>
  <c r="AC285"/>
  <c r="AA285"/>
  <c r="Y285"/>
  <c r="M285"/>
  <c r="Q285"/>
  <c r="L285"/>
  <c r="A286"/>
  <c r="G285"/>
  <c r="W285"/>
  <c r="Z285"/>
  <c r="AH286"/>
  <c r="E285"/>
  <c r="U285"/>
  <c r="F285"/>
  <c r="N285"/>
  <c r="M117" l="1"/>
  <c r="Q117"/>
  <c r="AH119"/>
  <c r="N286"/>
  <c r="Y286"/>
  <c r="F286"/>
  <c r="W286"/>
  <c r="AK287"/>
  <c r="AH287"/>
  <c r="L286"/>
  <c r="AG287"/>
  <c r="Q286"/>
  <c r="V286"/>
  <c r="AA286"/>
  <c r="S286"/>
  <c r="B286"/>
  <c r="AJ287"/>
  <c r="M286"/>
  <c r="G286"/>
  <c r="R286"/>
  <c r="Z286"/>
  <c r="C286"/>
  <c r="E286"/>
  <c r="A287"/>
  <c r="U286"/>
  <c r="D286"/>
  <c r="AE286" s="1"/>
  <c r="AI287"/>
  <c r="AC286"/>
  <c r="AJ119" l="1"/>
  <c r="AI119" s="1"/>
  <c r="G287"/>
  <c r="B287"/>
  <c r="AG288"/>
  <c r="AH288"/>
  <c r="Q287"/>
  <c r="L287"/>
  <c r="U287"/>
  <c r="AI288"/>
  <c r="D287"/>
  <c r="AE287" s="1"/>
  <c r="AJ288"/>
  <c r="AA287"/>
  <c r="F287"/>
  <c r="AK288"/>
  <c r="Y287"/>
  <c r="V287"/>
  <c r="AC287"/>
  <c r="Z287"/>
  <c r="W287"/>
  <c r="A288"/>
  <c r="E287"/>
  <c r="R287"/>
  <c r="C287"/>
  <c r="S287"/>
  <c r="N287"/>
  <c r="M287"/>
  <c r="AG120" l="1"/>
  <c r="AH120" s="1"/>
  <c r="AK119"/>
  <c r="M118" s="1"/>
  <c r="D288"/>
  <c r="AE288" s="1"/>
  <c r="U288"/>
  <c r="A289"/>
  <c r="L288"/>
  <c r="C288"/>
  <c r="Y288"/>
  <c r="R288"/>
  <c r="B288"/>
  <c r="AK289"/>
  <c r="W288"/>
  <c r="AG289"/>
  <c r="M288"/>
  <c r="AI289"/>
  <c r="N288"/>
  <c r="AJ289"/>
  <c r="E288"/>
  <c r="Z288"/>
  <c r="Q288"/>
  <c r="G288"/>
  <c r="V288"/>
  <c r="AA288"/>
  <c r="AH289"/>
  <c r="S288"/>
  <c r="AC288"/>
  <c r="F288"/>
  <c r="Q118" l="1"/>
  <c r="AJ120"/>
  <c r="AI120" s="1"/>
  <c r="AG121" s="1"/>
  <c r="AG290"/>
  <c r="AH290"/>
  <c r="S289"/>
  <c r="M289"/>
  <c r="Q289"/>
  <c r="AA289"/>
  <c r="W289"/>
  <c r="C289"/>
  <c r="B289"/>
  <c r="D289"/>
  <c r="AE289" s="1"/>
  <c r="E289"/>
  <c r="R289"/>
  <c r="L289"/>
  <c r="N289"/>
  <c r="U289"/>
  <c r="AK290"/>
  <c r="F289"/>
  <c r="G289"/>
  <c r="AJ290"/>
  <c r="Y289"/>
  <c r="A290"/>
  <c r="V289"/>
  <c r="Z289"/>
  <c r="AC289"/>
  <c r="AI290"/>
  <c r="AK120" l="1"/>
  <c r="AH121"/>
  <c r="S290"/>
  <c r="W290"/>
  <c r="AC290"/>
  <c r="F290"/>
  <c r="V290"/>
  <c r="U290"/>
  <c r="AA290"/>
  <c r="Y290"/>
  <c r="E290"/>
  <c r="L290"/>
  <c r="AJ291"/>
  <c r="AH291"/>
  <c r="G290"/>
  <c r="AK291"/>
  <c r="Q290"/>
  <c r="C290"/>
  <c r="M290"/>
  <c r="R290"/>
  <c r="AG291"/>
  <c r="N290"/>
  <c r="AI291"/>
  <c r="D290"/>
  <c r="AE290" s="1"/>
  <c r="B290"/>
  <c r="A291"/>
  <c r="Z290"/>
  <c r="AJ121" l="1"/>
  <c r="AI121" s="1"/>
  <c r="Q119"/>
  <c r="M119"/>
  <c r="Q291"/>
  <c r="R291"/>
  <c r="W291"/>
  <c r="B291"/>
  <c r="AJ292"/>
  <c r="AC291"/>
  <c r="E291"/>
  <c r="AK292"/>
  <c r="S291"/>
  <c r="AG292"/>
  <c r="V291"/>
  <c r="N291"/>
  <c r="U291"/>
  <c r="AH292"/>
  <c r="Z291"/>
  <c r="D291"/>
  <c r="AE291" s="1"/>
  <c r="M291"/>
  <c r="F291"/>
  <c r="AA291"/>
  <c r="C291"/>
  <c r="AI292"/>
  <c r="L291"/>
  <c r="Y291"/>
  <c r="A292"/>
  <c r="G291"/>
  <c r="AG122" l="1"/>
  <c r="AK121"/>
  <c r="Q292"/>
  <c r="A293"/>
  <c r="Y292"/>
  <c r="AK293"/>
  <c r="M292"/>
  <c r="E292"/>
  <c r="R292"/>
  <c r="G292"/>
  <c r="AC292"/>
  <c r="C292"/>
  <c r="AA292"/>
  <c r="W292"/>
  <c r="AG293"/>
  <c r="AI293"/>
  <c r="B292"/>
  <c r="L292"/>
  <c r="V292"/>
  <c r="N292"/>
  <c r="AJ293"/>
  <c r="U292"/>
  <c r="Z292"/>
  <c r="F292"/>
  <c r="D292"/>
  <c r="AE292" s="1"/>
  <c r="AH293"/>
  <c r="S292"/>
  <c r="Q120" l="1"/>
  <c r="M120"/>
  <c r="AH122"/>
  <c r="AC293"/>
  <c r="D293"/>
  <c r="AE293" s="1"/>
  <c r="AI294"/>
  <c r="AG294"/>
  <c r="S293"/>
  <c r="V293"/>
  <c r="N293"/>
  <c r="L293"/>
  <c r="A294"/>
  <c r="Z293"/>
  <c r="W293"/>
  <c r="M293"/>
  <c r="AK294"/>
  <c r="R293"/>
  <c r="G293"/>
  <c r="Y293"/>
  <c r="AA293"/>
  <c r="U293"/>
  <c r="Q293"/>
  <c r="C293"/>
  <c r="B293"/>
  <c r="E293"/>
  <c r="AH294"/>
  <c r="F293"/>
  <c r="AJ294"/>
  <c r="AJ122" l="1"/>
  <c r="AI122" s="1"/>
  <c r="V294"/>
  <c r="W294"/>
  <c r="C294"/>
  <c r="AG295"/>
  <c r="AH295"/>
  <c r="Z294"/>
  <c r="R294"/>
  <c r="AJ295"/>
  <c r="AK295"/>
  <c r="E294"/>
  <c r="M294"/>
  <c r="G294"/>
  <c r="U294"/>
  <c r="AI295"/>
  <c r="Q294"/>
  <c r="AA294"/>
  <c r="B294"/>
  <c r="F294"/>
  <c r="Y294"/>
  <c r="AC294"/>
  <c r="L294"/>
  <c r="S294"/>
  <c r="D294"/>
  <c r="AE294" s="1"/>
  <c r="N294"/>
  <c r="A295"/>
  <c r="AG123" l="1"/>
  <c r="AK122"/>
  <c r="U295"/>
  <c r="Z295"/>
  <c r="F295"/>
  <c r="Y295"/>
  <c r="E295"/>
  <c r="S295"/>
  <c r="AC295"/>
  <c r="L295"/>
  <c r="AJ296"/>
  <c r="N295"/>
  <c r="AA295"/>
  <c r="A296"/>
  <c r="M295"/>
  <c r="B295"/>
  <c r="Q295"/>
  <c r="AK296"/>
  <c r="D295"/>
  <c r="AE295" s="1"/>
  <c r="AI296"/>
  <c r="R295"/>
  <c r="W295"/>
  <c r="G295"/>
  <c r="V295"/>
  <c r="AH296"/>
  <c r="AG296"/>
  <c r="C295"/>
  <c r="M121" l="1"/>
  <c r="Q121"/>
  <c r="AH123"/>
  <c r="S296"/>
  <c r="E296"/>
  <c r="U296"/>
  <c r="D296"/>
  <c r="AE296" s="1"/>
  <c r="F296"/>
  <c r="AA296"/>
  <c r="L296"/>
  <c r="Y296"/>
  <c r="AI297"/>
  <c r="R296"/>
  <c r="B296"/>
  <c r="AG297"/>
  <c r="G296"/>
  <c r="Q296"/>
  <c r="V296"/>
  <c r="C296"/>
  <c r="N296"/>
  <c r="W296"/>
  <c r="A297"/>
  <c r="M296"/>
  <c r="Z296"/>
  <c r="AK297"/>
  <c r="AC296"/>
  <c r="AH297"/>
  <c r="AJ297"/>
  <c r="AJ123" l="1"/>
  <c r="AI123" s="1"/>
  <c r="Y297"/>
  <c r="B297"/>
  <c r="W297"/>
  <c r="M297"/>
  <c r="AC297"/>
  <c r="S297"/>
  <c r="R297"/>
  <c r="V297"/>
  <c r="AI298"/>
  <c r="AA297"/>
  <c r="Z297"/>
  <c r="AH298"/>
  <c r="U297"/>
  <c r="Q297"/>
  <c r="N297"/>
  <c r="E297"/>
  <c r="AJ298"/>
  <c r="L297"/>
  <c r="C297"/>
  <c r="A298"/>
  <c r="G297"/>
  <c r="AK298"/>
  <c r="F297"/>
  <c r="D297"/>
  <c r="AE297" s="1"/>
  <c r="AG298"/>
  <c r="AG124" l="1"/>
  <c r="AH124" s="1"/>
  <c r="AK123"/>
  <c r="M122" s="1"/>
  <c r="S298"/>
  <c r="AC298"/>
  <c r="W298"/>
  <c r="G298"/>
  <c r="AJ299"/>
  <c r="R298"/>
  <c r="C298"/>
  <c r="Y298"/>
  <c r="B298"/>
  <c r="U298"/>
  <c r="AH299"/>
  <c r="E298"/>
  <c r="D298"/>
  <c r="AE298" s="1"/>
  <c r="AG299"/>
  <c r="AA298"/>
  <c r="F298"/>
  <c r="V298"/>
  <c r="Z298"/>
  <c r="A299"/>
  <c r="AK299"/>
  <c r="N298"/>
  <c r="AI299"/>
  <c r="L298"/>
  <c r="M298"/>
  <c r="Q298"/>
  <c r="Q122" l="1"/>
  <c r="AJ124"/>
  <c r="AI124" s="1"/>
  <c r="AG125" s="1"/>
  <c r="AH300"/>
  <c r="E299"/>
  <c r="AK300"/>
  <c r="Q299"/>
  <c r="G299"/>
  <c r="A300"/>
  <c r="S299"/>
  <c r="V299"/>
  <c r="N299"/>
  <c r="M299"/>
  <c r="W299"/>
  <c r="C299"/>
  <c r="D299"/>
  <c r="AE299" s="1"/>
  <c r="AA299"/>
  <c r="AG300"/>
  <c r="AC299"/>
  <c r="F299"/>
  <c r="B299"/>
  <c r="AI300"/>
  <c r="U299"/>
  <c r="Y299"/>
  <c r="Z299"/>
  <c r="R299"/>
  <c r="L299"/>
  <c r="AJ300"/>
  <c r="AK124" l="1"/>
  <c r="AH125"/>
  <c r="F300"/>
  <c r="E300"/>
  <c r="V300"/>
  <c r="G300"/>
  <c r="R300"/>
  <c r="N300"/>
  <c r="U300"/>
  <c r="AJ301"/>
  <c r="AC300"/>
  <c r="L300"/>
  <c r="D300"/>
  <c r="AE300" s="1"/>
  <c r="Y300"/>
  <c r="AI301"/>
  <c r="W300"/>
  <c r="B300"/>
  <c r="Q300"/>
  <c r="S300"/>
  <c r="M300"/>
  <c r="AK301"/>
  <c r="AG301"/>
  <c r="AA300"/>
  <c r="Z300"/>
  <c r="C300"/>
  <c r="AH301"/>
  <c r="A301"/>
  <c r="AJ125" l="1"/>
  <c r="AI125" s="1"/>
  <c r="Q123"/>
  <c r="M123"/>
  <c r="AK302"/>
  <c r="D301"/>
  <c r="AE301" s="1"/>
  <c r="M301"/>
  <c r="G301"/>
  <c r="B301"/>
  <c r="C301"/>
  <c r="U301"/>
  <c r="E301"/>
  <c r="AI302"/>
  <c r="R301"/>
  <c r="N301"/>
  <c r="AC301"/>
  <c r="W301"/>
  <c r="AG302"/>
  <c r="F301"/>
  <c r="Y301"/>
  <c r="S301"/>
  <c r="V301"/>
  <c r="A302"/>
  <c r="AA301"/>
  <c r="AH302"/>
  <c r="AJ302"/>
  <c r="L301"/>
  <c r="Q301"/>
  <c r="Z301"/>
  <c r="AG126" l="1"/>
  <c r="AK125"/>
  <c r="AG303"/>
  <c r="M302"/>
  <c r="AI303"/>
  <c r="R302"/>
  <c r="C302"/>
  <c r="Q302"/>
  <c r="A303"/>
  <c r="AK303"/>
  <c r="S302"/>
  <c r="V302"/>
  <c r="AC302"/>
  <c r="AA302"/>
  <c r="E302"/>
  <c r="Z302"/>
  <c r="F302"/>
  <c r="B302"/>
  <c r="G302"/>
  <c r="U302"/>
  <c r="D302"/>
  <c r="AE302" s="1"/>
  <c r="AJ303"/>
  <c r="W302"/>
  <c r="N302"/>
  <c r="Y302"/>
  <c r="L302"/>
  <c r="AH303"/>
  <c r="Q124" l="1"/>
  <c r="M124"/>
  <c r="AH126"/>
  <c r="AI304"/>
  <c r="AG304"/>
  <c r="F303"/>
  <c r="N303"/>
  <c r="AJ304"/>
  <c r="Y303"/>
  <c r="A304"/>
  <c r="D303"/>
  <c r="AE303" s="1"/>
  <c r="Q303"/>
  <c r="S303"/>
  <c r="AC303"/>
  <c r="W303"/>
  <c r="AK304"/>
  <c r="AA303"/>
  <c r="E303"/>
  <c r="G303"/>
  <c r="AH304"/>
  <c r="L303"/>
  <c r="M303"/>
  <c r="Z303"/>
  <c r="R303"/>
  <c r="B303"/>
  <c r="C303"/>
  <c r="V303"/>
  <c r="U303"/>
  <c r="AJ126" l="1"/>
  <c r="AI126" s="1"/>
  <c r="AK305"/>
  <c r="E304"/>
  <c r="W304"/>
  <c r="B304"/>
  <c r="S304"/>
  <c r="F304"/>
  <c r="Z304"/>
  <c r="D304"/>
  <c r="AE304" s="1"/>
  <c r="Q304"/>
  <c r="N304"/>
  <c r="G304"/>
  <c r="AG305"/>
  <c r="AH305"/>
  <c r="U304"/>
  <c r="Y304"/>
  <c r="V304"/>
  <c r="AI305"/>
  <c r="A305"/>
  <c r="L304"/>
  <c r="C304"/>
  <c r="R304"/>
  <c r="AA304"/>
  <c r="AJ305"/>
  <c r="AC304"/>
  <c r="M304"/>
  <c r="AG127" l="1"/>
  <c r="AH127" s="1"/>
  <c r="AK126"/>
  <c r="N305"/>
  <c r="B305"/>
  <c r="E305"/>
  <c r="S305"/>
  <c r="V305"/>
  <c r="AJ306"/>
  <c r="Y305"/>
  <c r="AC305"/>
  <c r="AI306"/>
  <c r="L305"/>
  <c r="Q305"/>
  <c r="F305"/>
  <c r="C305"/>
  <c r="AK306"/>
  <c r="AA305"/>
  <c r="AH306"/>
  <c r="U305"/>
  <c r="R305"/>
  <c r="D305"/>
  <c r="AE305" s="1"/>
  <c r="A306"/>
  <c r="Z305"/>
  <c r="W305"/>
  <c r="AG306"/>
  <c r="G305"/>
  <c r="M305"/>
  <c r="Q125" l="1"/>
  <c r="M125"/>
  <c r="AJ127"/>
  <c r="AI127" s="1"/>
  <c r="AK127" s="1"/>
  <c r="U306"/>
  <c r="AI307"/>
  <c r="Q306"/>
  <c r="G306"/>
  <c r="R306"/>
  <c r="Z306"/>
  <c r="D306"/>
  <c r="AE306" s="1"/>
  <c r="C306"/>
  <c r="Y306"/>
  <c r="M306"/>
  <c r="S306"/>
  <c r="AC306"/>
  <c r="A307"/>
  <c r="AA306"/>
  <c r="F306"/>
  <c r="L306"/>
  <c r="V306"/>
  <c r="AK307"/>
  <c r="B306"/>
  <c r="AG307"/>
  <c r="E306"/>
  <c r="W306"/>
  <c r="AJ307"/>
  <c r="AH307"/>
  <c r="N306"/>
  <c r="Q126" l="1"/>
  <c r="M126"/>
  <c r="D307"/>
  <c r="AE307" s="1"/>
  <c r="C307"/>
  <c r="Z307"/>
  <c r="AI308"/>
  <c r="Y307"/>
  <c r="B307"/>
  <c r="AA307"/>
  <c r="AJ308"/>
  <c r="E307"/>
  <c r="M307"/>
  <c r="V307"/>
  <c r="F307"/>
  <c r="U307"/>
  <c r="AC307"/>
  <c r="AK308"/>
  <c r="A308"/>
  <c r="AH308"/>
  <c r="G307"/>
  <c r="AG308"/>
  <c r="R307"/>
  <c r="S307"/>
  <c r="N307"/>
  <c r="W307"/>
  <c r="Q307"/>
  <c r="L307"/>
  <c r="C308" l="1"/>
  <c r="AA308"/>
  <c r="Q308"/>
  <c r="AC308"/>
  <c r="M308"/>
  <c r="Y308"/>
  <c r="B308"/>
  <c r="D308"/>
  <c r="AE308" s="1"/>
  <c r="E308"/>
  <c r="N308"/>
  <c r="AG309"/>
  <c r="R308"/>
  <c r="Z308"/>
  <c r="L308"/>
  <c r="AH309"/>
  <c r="U308"/>
  <c r="G308"/>
  <c r="AK309"/>
  <c r="V308"/>
  <c r="A309"/>
  <c r="W308"/>
  <c r="F308"/>
  <c r="S308"/>
  <c r="AI309"/>
  <c r="AJ309"/>
  <c r="AA309" l="1"/>
  <c r="N309"/>
  <c r="AG310"/>
  <c r="B309"/>
  <c r="AH310"/>
  <c r="S309"/>
  <c r="D309"/>
  <c r="AE309" s="1"/>
  <c r="C309"/>
  <c r="E309"/>
  <c r="V309"/>
  <c r="U309"/>
  <c r="Q309"/>
  <c r="AI310"/>
  <c r="L309"/>
  <c r="W309"/>
  <c r="M309"/>
  <c r="AJ310"/>
  <c r="A310"/>
  <c r="AK310"/>
  <c r="R309"/>
  <c r="F309"/>
  <c r="G309"/>
  <c r="AC309"/>
  <c r="Y309"/>
  <c r="Z309"/>
  <c r="S310" l="1"/>
  <c r="D310"/>
  <c r="AE310" s="1"/>
  <c r="AK311"/>
  <c r="W310"/>
  <c r="Z310"/>
  <c r="E310"/>
  <c r="AC310"/>
  <c r="V310"/>
  <c r="F310"/>
  <c r="L310"/>
  <c r="AA310"/>
  <c r="B310"/>
  <c r="AJ311"/>
  <c r="AH311"/>
  <c r="C310"/>
  <c r="Y310"/>
  <c r="A311"/>
  <c r="R310"/>
  <c r="G310"/>
  <c r="M310"/>
  <c r="N310"/>
  <c r="Q310"/>
  <c r="AG311"/>
  <c r="U310"/>
  <c r="AI311"/>
  <c r="Y311" l="1"/>
  <c r="AA311"/>
  <c r="D311"/>
  <c r="AE311" s="1"/>
  <c r="AI312"/>
  <c r="W311"/>
  <c r="AJ312"/>
  <c r="L311"/>
  <c r="Z311"/>
  <c r="B311"/>
  <c r="AG312"/>
  <c r="V311"/>
  <c r="M311"/>
  <c r="E311"/>
  <c r="S311"/>
  <c r="U311"/>
  <c r="AH312"/>
  <c r="Q311"/>
  <c r="F311"/>
  <c r="G311"/>
  <c r="N311"/>
  <c r="AK312"/>
  <c r="A312"/>
  <c r="AC311"/>
  <c r="R311"/>
  <c r="C311"/>
  <c r="C312" l="1"/>
  <c r="F312"/>
  <c r="E312"/>
  <c r="B312"/>
  <c r="A313"/>
  <c r="M312"/>
  <c r="AH313"/>
  <c r="Q312"/>
  <c r="N312"/>
  <c r="D312"/>
  <c r="AE312" s="1"/>
  <c r="AC312"/>
  <c r="L312"/>
  <c r="U312"/>
  <c r="AI313"/>
  <c r="G312"/>
  <c r="AJ313"/>
  <c r="AA312"/>
  <c r="V312"/>
  <c r="W312"/>
  <c r="R312"/>
  <c r="S312"/>
  <c r="AK313"/>
  <c r="Z312"/>
  <c r="AG313"/>
  <c r="Y312"/>
  <c r="AA313" l="1"/>
  <c r="AI314"/>
  <c r="V313"/>
  <c r="AH314"/>
  <c r="D313"/>
  <c r="AE313" s="1"/>
  <c r="Y313"/>
  <c r="Z313"/>
  <c r="E313"/>
  <c r="AK314"/>
  <c r="A314"/>
  <c r="R313"/>
  <c r="AC313"/>
  <c r="Q313"/>
  <c r="AG314"/>
  <c r="AJ314"/>
  <c r="S313"/>
  <c r="M313"/>
  <c r="G313"/>
  <c r="C313"/>
  <c r="N313"/>
  <c r="B313"/>
  <c r="U313"/>
  <c r="W313"/>
  <c r="F313"/>
  <c r="L313"/>
  <c r="R314" l="1"/>
  <c r="AI315"/>
  <c r="C314"/>
  <c r="B314"/>
  <c r="N314"/>
  <c r="W314"/>
  <c r="L314"/>
  <c r="G314"/>
  <c r="Z314"/>
  <c r="E314"/>
  <c r="F314"/>
  <c r="AG315"/>
  <c r="V314"/>
  <c r="A315"/>
  <c r="S314"/>
  <c r="M314"/>
  <c r="D314"/>
  <c r="AE314" s="1"/>
  <c r="Y314"/>
  <c r="AA314"/>
  <c r="AJ315"/>
  <c r="AC314"/>
  <c r="AK315"/>
  <c r="U314"/>
  <c r="Q314"/>
  <c r="AH315"/>
  <c r="M315" l="1"/>
  <c r="AI316"/>
  <c r="AK316"/>
  <c r="AC315"/>
  <c r="Z315"/>
  <c r="G315"/>
  <c r="L315"/>
  <c r="C315"/>
  <c r="W315"/>
  <c r="B315"/>
  <c r="D315"/>
  <c r="AE315" s="1"/>
  <c r="Q315"/>
  <c r="V315"/>
  <c r="A316"/>
  <c r="F315"/>
  <c r="AH316"/>
  <c r="AA315"/>
  <c r="E315"/>
  <c r="U315"/>
  <c r="AG316"/>
  <c r="S315"/>
  <c r="R315"/>
  <c r="N315"/>
  <c r="Y315"/>
  <c r="AJ316"/>
  <c r="AJ317" l="1"/>
  <c r="D316"/>
  <c r="AE316" s="1"/>
  <c r="E316"/>
  <c r="W316"/>
  <c r="R316"/>
  <c r="M316"/>
  <c r="AG317"/>
  <c r="F316"/>
  <c r="AA316"/>
  <c r="V316"/>
  <c r="A317"/>
  <c r="U316"/>
  <c r="Y316"/>
  <c r="AK317"/>
  <c r="S316"/>
  <c r="N316"/>
  <c r="AC316"/>
  <c r="AI317"/>
  <c r="L316"/>
  <c r="AH317"/>
  <c r="Q316"/>
  <c r="B316"/>
  <c r="C316"/>
  <c r="Z316"/>
  <c r="G316"/>
  <c r="U317" l="1"/>
  <c r="V317"/>
  <c r="N317"/>
  <c r="AA317"/>
  <c r="Z317"/>
  <c r="R317"/>
  <c r="A318"/>
  <c r="G317"/>
  <c r="Y317"/>
  <c r="AH318"/>
  <c r="AI318"/>
  <c r="M317"/>
  <c r="S317"/>
  <c r="AC317"/>
  <c r="L317"/>
  <c r="AG318"/>
  <c r="AJ318"/>
  <c r="F317"/>
  <c r="AK318"/>
  <c r="E317"/>
  <c r="C317"/>
  <c r="W317"/>
  <c r="B317"/>
  <c r="Q317"/>
  <c r="D317"/>
  <c r="AE317" s="1"/>
  <c r="AK319" l="1"/>
  <c r="G318"/>
  <c r="AH319"/>
  <c r="S318"/>
  <c r="F318"/>
  <c r="Z318"/>
  <c r="AA318"/>
  <c r="AI319"/>
  <c r="V318"/>
  <c r="AJ319"/>
  <c r="E318"/>
  <c r="D318"/>
  <c r="AE318" s="1"/>
  <c r="N318"/>
  <c r="AG319"/>
  <c r="AC318"/>
  <c r="Q318"/>
  <c r="M318"/>
  <c r="U318"/>
  <c r="A319"/>
  <c r="B318"/>
  <c r="Y318"/>
  <c r="R318"/>
  <c r="C318"/>
  <c r="L318"/>
  <c r="W318"/>
  <c r="S319" l="1"/>
  <c r="A320"/>
  <c r="D319"/>
  <c r="AE319" s="1"/>
  <c r="Y319"/>
  <c r="AG320"/>
  <c r="AJ320"/>
  <c r="M319"/>
  <c r="E319"/>
  <c r="G319"/>
  <c r="AC319"/>
  <c r="B319"/>
  <c r="Z319"/>
  <c r="AH320"/>
  <c r="Q319"/>
  <c r="U319"/>
  <c r="L319"/>
  <c r="W319"/>
  <c r="F319"/>
  <c r="AI320"/>
  <c r="AA319"/>
  <c r="V319"/>
  <c r="AK320"/>
  <c r="N319"/>
  <c r="C319"/>
  <c r="R319"/>
  <c r="AG321" l="1"/>
  <c r="V320"/>
  <c r="D320"/>
  <c r="AE320" s="1"/>
  <c r="F320"/>
  <c r="AK321"/>
  <c r="E320"/>
  <c r="C320"/>
  <c r="AJ321"/>
  <c r="Y320"/>
  <c r="U320"/>
  <c r="AC320"/>
  <c r="AI321"/>
  <c r="AA320"/>
  <c r="S320"/>
  <c r="Z320"/>
  <c r="W320"/>
  <c r="M320"/>
  <c r="N320"/>
  <c r="B320"/>
  <c r="L320"/>
  <c r="AH321"/>
  <c r="Q320"/>
  <c r="G320"/>
  <c r="R320"/>
  <c r="A321"/>
  <c r="A322" l="1"/>
  <c r="C321"/>
  <c r="E321"/>
  <c r="G321"/>
  <c r="M321"/>
  <c r="L321"/>
  <c r="AC321"/>
  <c r="U321"/>
  <c r="AH322"/>
  <c r="Y321"/>
  <c r="AI322"/>
  <c r="AK322"/>
  <c r="W321"/>
  <c r="AJ322"/>
  <c r="V321"/>
  <c r="N321"/>
  <c r="Q321"/>
  <c r="AA321"/>
  <c r="AG322"/>
  <c r="Z321"/>
  <c r="S321"/>
  <c r="B321"/>
  <c r="D321"/>
  <c r="AE321" s="1"/>
  <c r="F321"/>
  <c r="R321"/>
  <c r="S322" l="1"/>
  <c r="G322"/>
  <c r="AC322"/>
  <c r="AG323"/>
  <c r="M322"/>
  <c r="U322"/>
  <c r="Y322"/>
  <c r="A323"/>
  <c r="AA322"/>
  <c r="V322"/>
  <c r="AJ323"/>
  <c r="B322"/>
  <c r="AH323"/>
  <c r="R322"/>
  <c r="W322"/>
  <c r="E322"/>
  <c r="D322"/>
  <c r="AE322" s="1"/>
  <c r="L322"/>
  <c r="AI323"/>
  <c r="N322"/>
  <c r="F322"/>
  <c r="C322"/>
  <c r="Z322"/>
  <c r="Q322"/>
  <c r="AK323"/>
  <c r="L323" l="1"/>
  <c r="R323"/>
  <c r="AJ324"/>
  <c r="U323"/>
  <c r="Z323"/>
  <c r="AI324"/>
  <c r="M323"/>
  <c r="A324"/>
  <c r="S323"/>
  <c r="AG324"/>
  <c r="G323"/>
  <c r="V323"/>
  <c r="AK324"/>
  <c r="W323"/>
  <c r="D323"/>
  <c r="AE323" s="1"/>
  <c r="Q323"/>
  <c r="AC323"/>
  <c r="E323"/>
  <c r="C323"/>
  <c r="AH324"/>
  <c r="B323"/>
  <c r="F323"/>
  <c r="AA323"/>
  <c r="Y323"/>
  <c r="N323"/>
  <c r="V324" l="1"/>
  <c r="M324"/>
  <c r="L324"/>
  <c r="A325"/>
  <c r="AJ325"/>
  <c r="AG325"/>
  <c r="W324"/>
  <c r="C324"/>
  <c r="Z324"/>
  <c r="U324"/>
  <c r="F324"/>
  <c r="AC324"/>
  <c r="E324"/>
  <c r="Q324"/>
  <c r="AK325"/>
  <c r="R324"/>
  <c r="S324"/>
  <c r="AA324"/>
  <c r="N324"/>
  <c r="B324"/>
  <c r="AI325"/>
  <c r="Y324"/>
  <c r="G324"/>
  <c r="D324"/>
  <c r="AE324" s="1"/>
  <c r="AH325"/>
  <c r="M325" l="1"/>
  <c r="G325"/>
  <c r="S325"/>
  <c r="U325"/>
  <c r="Z325"/>
  <c r="W325"/>
  <c r="C325"/>
  <c r="AJ326"/>
  <c r="Y325"/>
  <c r="AC325"/>
  <c r="R325"/>
  <c r="B325"/>
  <c r="V325"/>
  <c r="AA325"/>
  <c r="E325"/>
  <c r="AK326"/>
  <c r="AG326"/>
  <c r="L325"/>
  <c r="A326"/>
  <c r="F325"/>
  <c r="AH326"/>
  <c r="N325"/>
  <c r="D325"/>
  <c r="AE325" s="1"/>
  <c r="Q325"/>
  <c r="AI326"/>
  <c r="AI327" l="1"/>
  <c r="Z326"/>
  <c r="AK327"/>
  <c r="A327"/>
  <c r="E326"/>
  <c r="N326"/>
  <c r="AJ327"/>
  <c r="M326"/>
  <c r="C326"/>
  <c r="U326"/>
  <c r="AC326"/>
  <c r="AG327"/>
  <c r="Q326"/>
  <c r="AA326"/>
  <c r="Y326"/>
  <c r="AH327"/>
  <c r="L326"/>
  <c r="D326"/>
  <c r="AE326" s="1"/>
  <c r="V326"/>
  <c r="W326"/>
  <c r="G326"/>
  <c r="F326"/>
  <c r="B326"/>
  <c r="R326"/>
  <c r="S326"/>
  <c r="M327" l="1"/>
  <c r="W327"/>
  <c r="R327"/>
  <c r="AC327"/>
  <c r="F327"/>
  <c r="AA327"/>
  <c r="S327"/>
  <c r="B327"/>
  <c r="Q327"/>
  <c r="C327"/>
  <c r="AG328"/>
  <c r="AJ328"/>
  <c r="L327"/>
  <c r="Y327"/>
  <c r="AK328"/>
  <c r="G327"/>
  <c r="AI328"/>
  <c r="A328"/>
  <c r="V327"/>
  <c r="D327"/>
  <c r="AE327" s="1"/>
  <c r="N327"/>
  <c r="AH328"/>
  <c r="Z327"/>
  <c r="U327"/>
  <c r="E327"/>
  <c r="G328" l="1"/>
  <c r="U328"/>
  <c r="L328"/>
  <c r="R328"/>
  <c r="M328"/>
  <c r="AH329"/>
  <c r="C328"/>
  <c r="F328"/>
  <c r="AG329"/>
  <c r="B328"/>
  <c r="Z328"/>
  <c r="D328"/>
  <c r="AE328" s="1"/>
  <c r="AA328"/>
  <c r="V328"/>
  <c r="N328"/>
  <c r="AK329"/>
  <c r="E328"/>
  <c r="S328"/>
  <c r="AI329"/>
  <c r="A329"/>
  <c r="Q328"/>
  <c r="Y328"/>
  <c r="AC328"/>
  <c r="W328"/>
  <c r="AJ329"/>
  <c r="Y329" l="1"/>
  <c r="Q329"/>
  <c r="AH330"/>
  <c r="G329"/>
  <c r="B329"/>
  <c r="R329"/>
  <c r="Z329"/>
  <c r="AJ330"/>
  <c r="V329"/>
  <c r="AK330"/>
  <c r="N329"/>
  <c r="AI330"/>
  <c r="D329"/>
  <c r="AE329" s="1"/>
  <c r="AA329"/>
  <c r="AC329"/>
  <c r="W329"/>
  <c r="F329"/>
  <c r="L329"/>
  <c r="AG330"/>
  <c r="S329"/>
  <c r="E329"/>
  <c r="M329"/>
  <c r="U329"/>
  <c r="C329"/>
  <c r="A330"/>
  <c r="G330" l="1"/>
  <c r="AK331"/>
  <c r="D330"/>
  <c r="AE330" s="1"/>
  <c r="S330"/>
  <c r="AI331"/>
  <c r="AJ331"/>
  <c r="R330"/>
  <c r="B330"/>
  <c r="N330"/>
  <c r="AC330"/>
  <c r="L330"/>
  <c r="AG331"/>
  <c r="V330"/>
  <c r="C330"/>
  <c r="AH331"/>
  <c r="AA330"/>
  <c r="Y330"/>
  <c r="F330"/>
  <c r="A331"/>
  <c r="M330"/>
  <c r="W330"/>
  <c r="E330"/>
  <c r="U330"/>
  <c r="Q330"/>
  <c r="Z330"/>
  <c r="AI332" l="1"/>
  <c r="C331"/>
  <c r="F331"/>
  <c r="AG332"/>
  <c r="Q331"/>
  <c r="R331"/>
  <c r="D331"/>
  <c r="AE331" s="1"/>
  <c r="Y331"/>
  <c r="L331"/>
  <c r="E331"/>
  <c r="V331"/>
  <c r="Z331"/>
  <c r="B331"/>
  <c r="M331"/>
  <c r="AJ332"/>
  <c r="N331"/>
  <c r="AC331"/>
  <c r="S331"/>
  <c r="AK332"/>
  <c r="W331"/>
  <c r="A332"/>
  <c r="G331"/>
  <c r="U331"/>
  <c r="AA331"/>
  <c r="AH332"/>
  <c r="AH333" l="1"/>
  <c r="AC332"/>
  <c r="M332"/>
  <c r="A333"/>
  <c r="AI333"/>
  <c r="AA332"/>
  <c r="Q332"/>
  <c r="AG333"/>
  <c r="U332"/>
  <c r="AJ333"/>
  <c r="W332"/>
  <c r="D332"/>
  <c r="AE332" s="1"/>
  <c r="L332"/>
  <c r="N332"/>
  <c r="Y332"/>
  <c r="G332"/>
  <c r="S332"/>
  <c r="R332"/>
  <c r="V332"/>
  <c r="B332"/>
  <c r="E332"/>
  <c r="C332"/>
  <c r="F332"/>
  <c r="Z332"/>
  <c r="AK333"/>
  <c r="W333" l="1"/>
  <c r="F333"/>
  <c r="AH334"/>
  <c r="R333"/>
  <c r="L333"/>
  <c r="AA333"/>
  <c r="Y333"/>
  <c r="V333"/>
  <c r="C333"/>
  <c r="Q333"/>
  <c r="Z333"/>
  <c r="S333"/>
  <c r="A334"/>
  <c r="M333"/>
  <c r="AC333"/>
  <c r="AJ334"/>
  <c r="N333"/>
  <c r="G333"/>
  <c r="B333"/>
  <c r="E333"/>
  <c r="AG334"/>
  <c r="U333"/>
  <c r="AK334"/>
  <c r="AI334"/>
  <c r="D333"/>
  <c r="AE333" s="1"/>
  <c r="S334" l="1"/>
  <c r="W334"/>
  <c r="E334"/>
  <c r="V334"/>
  <c r="Y334"/>
  <c r="M334"/>
  <c r="AG335"/>
  <c r="D334"/>
  <c r="AE334" s="1"/>
  <c r="A335"/>
  <c r="B334"/>
  <c r="N334"/>
  <c r="Q334"/>
  <c r="L334"/>
  <c r="AI335"/>
  <c r="G334"/>
  <c r="R334"/>
  <c r="AC334"/>
  <c r="AJ335"/>
  <c r="F334"/>
  <c r="Z334"/>
  <c r="C334"/>
  <c r="U334"/>
  <c r="AA334"/>
  <c r="AH335"/>
  <c r="AK335"/>
  <c r="M335" l="1"/>
  <c r="B335"/>
  <c r="AC335"/>
  <c r="AI336"/>
  <c r="Y335"/>
  <c r="AH336"/>
  <c r="Q335"/>
  <c r="Z335"/>
  <c r="W335"/>
  <c r="AK336"/>
  <c r="V335"/>
  <c r="E335"/>
  <c r="N335"/>
  <c r="U335"/>
  <c r="G335"/>
  <c r="S335"/>
  <c r="AG336"/>
  <c r="L335"/>
  <c r="C335"/>
  <c r="A336"/>
  <c r="AJ336"/>
  <c r="R335"/>
  <c r="AA335"/>
  <c r="D335"/>
  <c r="AE335" s="1"/>
  <c r="F335"/>
  <c r="Q336" l="1"/>
  <c r="N336"/>
  <c r="AH337"/>
  <c r="V336"/>
  <c r="AA336"/>
  <c r="E336"/>
  <c r="AC336"/>
  <c r="B336"/>
  <c r="AI337"/>
  <c r="F336"/>
  <c r="U336"/>
  <c r="W336"/>
  <c r="AJ337"/>
  <c r="A337"/>
  <c r="S336"/>
  <c r="Z336"/>
  <c r="L336"/>
  <c r="R336"/>
  <c r="G336"/>
  <c r="C336"/>
  <c r="M336"/>
  <c r="AK337"/>
  <c r="AG337"/>
  <c r="D336"/>
  <c r="AE336" s="1"/>
  <c r="Y336"/>
  <c r="V337" l="1"/>
  <c r="E337"/>
  <c r="M337"/>
  <c r="AI338"/>
  <c r="R337"/>
  <c r="AA337"/>
  <c r="Q337"/>
  <c r="W337"/>
  <c r="AC337"/>
  <c r="AJ338"/>
  <c r="U337"/>
  <c r="AK338"/>
  <c r="D337"/>
  <c r="AE337" s="1"/>
  <c r="Y337"/>
  <c r="C337"/>
  <c r="AG338"/>
  <c r="S337"/>
  <c r="AH338"/>
  <c r="N337"/>
  <c r="G337"/>
  <c r="B337"/>
  <c r="Z337"/>
  <c r="A338"/>
  <c r="L337"/>
  <c r="F337"/>
  <c r="Q338" l="1"/>
  <c r="AG339"/>
  <c r="AA338"/>
  <c r="A339"/>
  <c r="V338"/>
  <c r="F338"/>
  <c r="AC338"/>
  <c r="U338"/>
  <c r="L338"/>
  <c r="D338"/>
  <c r="AE338" s="1"/>
  <c r="S338"/>
  <c r="Y338"/>
  <c r="R338"/>
  <c r="C338"/>
  <c r="W338"/>
  <c r="G338"/>
  <c r="Z338"/>
  <c r="AH339"/>
  <c r="E338"/>
  <c r="AK339"/>
  <c r="M338"/>
  <c r="B338"/>
  <c r="AJ339"/>
  <c r="N338"/>
  <c r="AI339"/>
  <c r="S339" l="1"/>
  <c r="C339"/>
  <c r="D339"/>
  <c r="AE339" s="1"/>
  <c r="AH340"/>
  <c r="W339"/>
  <c r="Z339"/>
  <c r="R339"/>
  <c r="U339"/>
  <c r="V339"/>
  <c r="N339"/>
  <c r="AG340"/>
  <c r="Q339"/>
  <c r="AJ340"/>
  <c r="B339"/>
  <c r="AC339"/>
  <c r="E339"/>
  <c r="M339"/>
  <c r="Y339"/>
  <c r="AI340"/>
  <c r="F339"/>
  <c r="AA339"/>
  <c r="AK340"/>
  <c r="A340"/>
  <c r="G339"/>
  <c r="L339"/>
  <c r="E340" l="1"/>
  <c r="Q340"/>
  <c r="F340"/>
  <c r="B340"/>
  <c r="L340"/>
  <c r="S340"/>
  <c r="D340"/>
  <c r="AE340" s="1"/>
  <c r="N340"/>
  <c r="AC340"/>
  <c r="W340"/>
  <c r="AK341"/>
  <c r="M340"/>
  <c r="Y340"/>
  <c r="U340"/>
  <c r="V340"/>
  <c r="AH341"/>
  <c r="A341"/>
  <c r="C340"/>
  <c r="Z340"/>
  <c r="AA340"/>
  <c r="R340"/>
  <c r="AG341"/>
  <c r="G340"/>
  <c r="AI341"/>
  <c r="AJ341"/>
  <c r="Z341" l="1"/>
  <c r="W341"/>
  <c r="AH342"/>
  <c r="L341"/>
  <c r="AA341"/>
  <c r="AJ342"/>
  <c r="R341"/>
  <c r="E341"/>
  <c r="A342"/>
  <c r="G341"/>
  <c r="AC341"/>
  <c r="U341"/>
  <c r="B341"/>
  <c r="D341"/>
  <c r="AE341" s="1"/>
  <c r="V341"/>
  <c r="F341"/>
  <c r="AG342"/>
  <c r="C341"/>
  <c r="AK342"/>
  <c r="N341"/>
  <c r="S341"/>
  <c r="M341"/>
  <c r="Q341"/>
  <c r="AI342"/>
  <c r="Y341"/>
  <c r="AI343" l="1"/>
  <c r="Q342"/>
  <c r="AG343"/>
  <c r="S342"/>
  <c r="M342"/>
  <c r="G342"/>
  <c r="V342"/>
  <c r="D342"/>
  <c r="AE342" s="1"/>
  <c r="A343"/>
  <c r="Z342"/>
  <c r="AH343"/>
  <c r="E342"/>
  <c r="AK343"/>
  <c r="AA342"/>
  <c r="AC342"/>
  <c r="B342"/>
  <c r="C342"/>
  <c r="W342"/>
  <c r="R342"/>
  <c r="U342"/>
  <c r="F342"/>
  <c r="N342"/>
  <c r="Y342"/>
  <c r="L342"/>
  <c r="AJ343"/>
  <c r="L343" l="1"/>
  <c r="Y343"/>
  <c r="C343"/>
  <c r="M343"/>
  <c r="B343"/>
  <c r="A344"/>
  <c r="R343"/>
  <c r="F343"/>
  <c r="AJ344"/>
  <c r="D343"/>
  <c r="AE343" s="1"/>
  <c r="S343"/>
  <c r="Q343"/>
  <c r="Z343"/>
  <c r="W343"/>
  <c r="N343"/>
  <c r="E343"/>
  <c r="V343"/>
  <c r="AA343"/>
  <c r="AH344"/>
  <c r="U343"/>
  <c r="AC343"/>
  <c r="AI344"/>
  <c r="G343"/>
  <c r="AK344"/>
  <c r="AG344"/>
  <c r="D344" l="1"/>
  <c r="AE344" s="1"/>
  <c r="AC344"/>
  <c r="U344"/>
  <c r="S344"/>
  <c r="R344"/>
  <c r="B344"/>
  <c r="L344"/>
  <c r="A345"/>
  <c r="G344"/>
  <c r="N344"/>
  <c r="AH345"/>
  <c r="M344"/>
  <c r="E344"/>
  <c r="V344"/>
  <c r="AJ345"/>
  <c r="Q344"/>
  <c r="Y344"/>
  <c r="C344"/>
  <c r="AK345"/>
  <c r="F344"/>
  <c r="W344"/>
  <c r="AI345"/>
  <c r="AA344"/>
  <c r="AG345"/>
  <c r="Z344"/>
  <c r="Q345" l="1"/>
  <c r="AK346"/>
  <c r="Z345"/>
  <c r="G345"/>
  <c r="U345"/>
  <c r="R345"/>
  <c r="L345"/>
  <c r="A346"/>
  <c r="C345"/>
  <c r="Y345"/>
  <c r="B345"/>
  <c r="AA345"/>
  <c r="AJ346"/>
  <c r="D345"/>
  <c r="AE345" s="1"/>
  <c r="AH346"/>
  <c r="E345"/>
  <c r="AG346"/>
  <c r="AC345"/>
  <c r="M345"/>
  <c r="W345"/>
  <c r="AI346"/>
  <c r="N345"/>
  <c r="V345"/>
  <c r="S345"/>
  <c r="F345"/>
  <c r="R346" l="1"/>
  <c r="S346"/>
  <c r="A347"/>
  <c r="AC346"/>
  <c r="G346"/>
  <c r="Z346"/>
  <c r="E346"/>
  <c r="AK347"/>
  <c r="N346"/>
  <c r="B346"/>
  <c r="L346"/>
  <c r="D346"/>
  <c r="AE346" s="1"/>
  <c r="C346"/>
  <c r="AJ347"/>
  <c r="Y346"/>
  <c r="AI347"/>
  <c r="U346"/>
  <c r="M346"/>
  <c r="Q346"/>
  <c r="F346"/>
  <c r="AG347"/>
  <c r="W346"/>
  <c r="AA346"/>
  <c r="V346"/>
  <c r="AH347"/>
  <c r="AG348" l="1"/>
  <c r="N347"/>
  <c r="C347"/>
  <c r="AK348"/>
  <c r="D347"/>
  <c r="AE347" s="1"/>
  <c r="R347"/>
  <c r="AJ348"/>
  <c r="AC347"/>
  <c r="A348"/>
  <c r="B347"/>
  <c r="Q347"/>
  <c r="AH348"/>
  <c r="AI348"/>
  <c r="Z347"/>
  <c r="F347"/>
  <c r="M347"/>
  <c r="G347"/>
  <c r="V347"/>
  <c r="W347"/>
  <c r="Y347"/>
  <c r="U347"/>
  <c r="E347"/>
  <c r="AA347"/>
  <c r="L347"/>
  <c r="S347"/>
  <c r="N348" l="1"/>
  <c r="U348"/>
  <c r="AA348"/>
  <c r="A349"/>
  <c r="E348"/>
  <c r="B348"/>
  <c r="AJ349"/>
  <c r="W348"/>
  <c r="AC348"/>
  <c r="M348"/>
  <c r="Y348"/>
  <c r="AI349"/>
  <c r="C348"/>
  <c r="Q348"/>
  <c r="AH349"/>
  <c r="AK349"/>
  <c r="Z348"/>
  <c r="F348"/>
  <c r="D348"/>
  <c r="AE348" s="1"/>
  <c r="G348"/>
  <c r="V348"/>
  <c r="L348"/>
  <c r="R348"/>
  <c r="AG349"/>
  <c r="S348"/>
  <c r="G349" l="1"/>
  <c r="F349"/>
  <c r="L349"/>
  <c r="Z349"/>
  <c r="AK350"/>
  <c r="AI350"/>
  <c r="AJ350"/>
  <c r="M349"/>
  <c r="AA349"/>
  <c r="D349"/>
  <c r="AE349" s="1"/>
  <c r="S349"/>
  <c r="C349"/>
  <c r="R349"/>
  <c r="U349"/>
  <c r="E349"/>
  <c r="B349"/>
  <c r="N349"/>
  <c r="W349"/>
  <c r="AC349"/>
  <c r="V349"/>
  <c r="AH350"/>
  <c r="A350"/>
  <c r="Q349"/>
  <c r="Y349"/>
  <c r="AG350"/>
  <c r="N350" l="1"/>
  <c r="AC350"/>
  <c r="F350"/>
  <c r="R350"/>
  <c r="A351"/>
  <c r="D350"/>
  <c r="AE350" s="1"/>
  <c r="AH351"/>
  <c r="U350"/>
  <c r="E350"/>
  <c r="S350"/>
  <c r="Z350"/>
  <c r="W350"/>
  <c r="AJ351"/>
  <c r="G350"/>
  <c r="AK351"/>
  <c r="B350"/>
  <c r="L350"/>
  <c r="AA350"/>
  <c r="C350"/>
  <c r="M350"/>
  <c r="AI351"/>
  <c r="Y350"/>
  <c r="V350"/>
  <c r="Q350"/>
  <c r="AG351"/>
  <c r="Q351" l="1"/>
  <c r="AJ352"/>
  <c r="M351"/>
  <c r="D351"/>
  <c r="AE351" s="1"/>
  <c r="AH352"/>
  <c r="V351"/>
  <c r="N351"/>
  <c r="U351"/>
  <c r="B351"/>
  <c r="AG352"/>
  <c r="G351"/>
  <c r="E351"/>
  <c r="W351"/>
  <c r="AI352"/>
  <c r="S351"/>
  <c r="Z351"/>
  <c r="L351"/>
  <c r="AA351"/>
  <c r="AK352"/>
  <c r="F351"/>
  <c r="C351"/>
  <c r="AC351"/>
  <c r="R351"/>
  <c r="Y351"/>
  <c r="A352"/>
  <c r="F352" l="1"/>
  <c r="U352"/>
  <c r="B352"/>
  <c r="V352"/>
  <c r="AG353"/>
  <c r="AJ353"/>
  <c r="W352"/>
  <c r="Z352"/>
  <c r="C352"/>
  <c r="Y352"/>
  <c r="M352"/>
  <c r="N352"/>
  <c r="AC352"/>
  <c r="Q352"/>
  <c r="S352"/>
  <c r="E352"/>
  <c r="AI353"/>
  <c r="AK353"/>
  <c r="R352"/>
  <c r="A353"/>
  <c r="G352"/>
  <c r="L352"/>
  <c r="D352"/>
  <c r="AE352" s="1"/>
  <c r="AH353"/>
  <c r="AA352"/>
  <c r="Z353" l="1"/>
  <c r="F353"/>
  <c r="W353"/>
  <c r="AG354"/>
  <c r="C353"/>
  <c r="U353"/>
  <c r="E353"/>
  <c r="AK354"/>
  <c r="AC353"/>
  <c r="S353"/>
  <c r="A354"/>
  <c r="N353"/>
  <c r="B353"/>
  <c r="AJ354"/>
  <c r="L353"/>
  <c r="Y353"/>
  <c r="Q353"/>
  <c r="AA353"/>
  <c r="G353"/>
  <c r="V353"/>
  <c r="AI354"/>
  <c r="R353"/>
  <c r="D353"/>
  <c r="AE353" s="1"/>
  <c r="M353"/>
  <c r="AH354"/>
  <c r="A355" l="1"/>
  <c r="AI355"/>
  <c r="N354"/>
  <c r="C354"/>
  <c r="Q354"/>
  <c r="B354"/>
  <c r="E354"/>
  <c r="L354"/>
  <c r="F354"/>
  <c r="G354"/>
  <c r="D354"/>
  <c r="AE354" s="1"/>
  <c r="V354"/>
  <c r="AK355"/>
  <c r="AA354"/>
  <c r="AJ355"/>
  <c r="R354"/>
  <c r="U354"/>
  <c r="M354"/>
  <c r="Z354"/>
  <c r="W354"/>
  <c r="S354"/>
  <c r="Y354"/>
  <c r="AG355"/>
  <c r="AC354"/>
  <c r="AH355"/>
  <c r="E355" l="1"/>
  <c r="AJ356"/>
  <c r="Y355"/>
  <c r="M355"/>
  <c r="U355"/>
  <c r="W355"/>
  <c r="C355"/>
  <c r="N355"/>
  <c r="L355"/>
  <c r="AI356"/>
  <c r="Z355"/>
  <c r="V355"/>
  <c r="S355"/>
  <c r="D355"/>
  <c r="AE355" s="1"/>
  <c r="Q355"/>
  <c r="AA355"/>
  <c r="AH356"/>
  <c r="F355"/>
  <c r="B355"/>
  <c r="R355"/>
  <c r="AC355"/>
  <c r="A356"/>
  <c r="AK356"/>
  <c r="AG356"/>
  <c r="G355"/>
  <c r="Z356" l="1"/>
  <c r="R356"/>
  <c r="Y356"/>
  <c r="S356"/>
  <c r="AJ357"/>
  <c r="D356"/>
  <c r="AE356" s="1"/>
  <c r="V356"/>
  <c r="Q356"/>
  <c r="AH357"/>
  <c r="E356"/>
  <c r="F356"/>
  <c r="A357"/>
  <c r="C356"/>
  <c r="L356"/>
  <c r="AK357"/>
  <c r="M356"/>
  <c r="AG357"/>
  <c r="AA356"/>
  <c r="N356"/>
  <c r="W356"/>
  <c r="AI357"/>
  <c r="AC356"/>
  <c r="U356"/>
  <c r="B356"/>
  <c r="G356"/>
  <c r="C357" l="1"/>
  <c r="S357"/>
  <c r="AH358"/>
  <c r="Z357"/>
  <c r="V357"/>
  <c r="N357"/>
  <c r="AJ358"/>
  <c r="AG358"/>
  <c r="U357"/>
  <c r="M357"/>
  <c r="Y357"/>
  <c r="R357"/>
  <c r="B357"/>
  <c r="AK358"/>
  <c r="F357"/>
  <c r="Q357"/>
  <c r="G357"/>
  <c r="D357"/>
  <c r="AE357" s="1"/>
  <c r="AC357"/>
  <c r="AA357"/>
  <c r="AI358"/>
  <c r="E357"/>
  <c r="L357"/>
  <c r="A358"/>
  <c r="W357"/>
  <c r="AH359" l="1"/>
  <c r="M358"/>
  <c r="AK359"/>
  <c r="AC358"/>
  <c r="Q358"/>
  <c r="AG359"/>
  <c r="Z358"/>
  <c r="AI359"/>
  <c r="U358"/>
  <c r="R358"/>
  <c r="B358"/>
  <c r="V358"/>
  <c r="N358"/>
  <c r="D358"/>
  <c r="AE358" s="1"/>
  <c r="W358"/>
  <c r="C358"/>
  <c r="G358"/>
  <c r="S358"/>
  <c r="A359"/>
  <c r="AA358"/>
  <c r="L358"/>
  <c r="Y358"/>
  <c r="AJ359"/>
  <c r="F358"/>
  <c r="E358"/>
  <c r="AJ360" l="1"/>
  <c r="D359"/>
  <c r="AE359" s="1"/>
  <c r="AI360"/>
  <c r="Q359"/>
  <c r="A360"/>
  <c r="AH360"/>
  <c r="M359"/>
  <c r="AC359"/>
  <c r="N359"/>
  <c r="Z359"/>
  <c r="AA359"/>
  <c r="AK360"/>
  <c r="Y359"/>
  <c r="S359"/>
  <c r="AG360"/>
  <c r="V359"/>
  <c r="E359"/>
  <c r="C359"/>
  <c r="R359"/>
  <c r="W359"/>
  <c r="G359"/>
  <c r="F359"/>
  <c r="B359"/>
  <c r="L359"/>
  <c r="U359"/>
  <c r="AA360" l="1"/>
  <c r="L360"/>
  <c r="Q360"/>
  <c r="AJ361"/>
  <c r="S360"/>
  <c r="V360"/>
  <c r="N360"/>
  <c r="AK361"/>
  <c r="AG361"/>
  <c r="Z360"/>
  <c r="U360"/>
  <c r="C360"/>
  <c r="AH361"/>
  <c r="AC360"/>
  <c r="E360"/>
  <c r="AI361"/>
  <c r="G360"/>
  <c r="R360"/>
  <c r="F360"/>
  <c r="A361"/>
  <c r="M360"/>
  <c r="B360"/>
  <c r="Y360"/>
  <c r="W360"/>
  <c r="D360"/>
  <c r="AE360" s="1"/>
  <c r="L361" l="1"/>
  <c r="R361"/>
  <c r="B361"/>
  <c r="E361"/>
  <c r="F361"/>
  <c r="U361"/>
  <c r="A362"/>
  <c r="S361"/>
  <c r="AK362"/>
  <c r="AC361"/>
  <c r="M361"/>
  <c r="AJ362"/>
  <c r="Y361"/>
  <c r="Z361"/>
  <c r="AG362"/>
  <c r="N361"/>
  <c r="Q361"/>
  <c r="AA361"/>
  <c r="W361"/>
  <c r="V361"/>
  <c r="AH362"/>
  <c r="AI362"/>
  <c r="G361"/>
  <c r="D361"/>
  <c r="AE361" s="1"/>
  <c r="C361"/>
  <c r="AA362" l="1"/>
  <c r="V362"/>
  <c r="Z362"/>
  <c r="D362"/>
  <c r="AE362" s="1"/>
  <c r="Q362"/>
  <c r="R362"/>
  <c r="M362"/>
  <c r="AJ363"/>
  <c r="AC362"/>
  <c r="AK363"/>
  <c r="B362"/>
  <c r="C362"/>
  <c r="AG363"/>
  <c r="N362"/>
  <c r="L362"/>
  <c r="E362"/>
  <c r="AI363"/>
  <c r="S362"/>
  <c r="F362"/>
  <c r="U362"/>
  <c r="Y362"/>
  <c r="W362"/>
  <c r="G362"/>
  <c r="AH363"/>
  <c r="A363"/>
  <c r="S363" l="1"/>
  <c r="U363"/>
  <c r="AJ364"/>
  <c r="D363"/>
  <c r="AE363" s="1"/>
  <c r="N363"/>
  <c r="AG364"/>
  <c r="F363"/>
  <c r="Y363"/>
  <c r="Z363"/>
  <c r="A364"/>
  <c r="B363"/>
  <c r="AA363"/>
  <c r="E363"/>
  <c r="Q363"/>
  <c r="G363"/>
  <c r="C363"/>
  <c r="R363"/>
  <c r="W363"/>
  <c r="V363"/>
  <c r="M363"/>
  <c r="L363"/>
  <c r="AH364"/>
  <c r="AK364"/>
  <c r="AI364"/>
  <c r="AC363"/>
  <c r="AK365" l="1"/>
  <c r="Y364"/>
  <c r="L364"/>
  <c r="U364"/>
  <c r="AC364"/>
  <c r="V364"/>
  <c r="M364"/>
  <c r="R364"/>
  <c r="W364"/>
  <c r="AH365"/>
  <c r="E364"/>
  <c r="S364"/>
  <c r="AA364"/>
  <c r="D364"/>
  <c r="AE364" s="1"/>
  <c r="AI365"/>
  <c r="B364"/>
  <c r="G364"/>
  <c r="C364"/>
  <c r="Q364"/>
  <c r="AJ365"/>
  <c r="Z364"/>
  <c r="N364"/>
  <c r="F364"/>
  <c r="AG365"/>
  <c r="A365"/>
  <c r="Z365" l="1"/>
  <c r="AK366"/>
  <c r="W365"/>
  <c r="D365"/>
  <c r="AE365" s="1"/>
  <c r="U365"/>
  <c r="V365"/>
  <c r="AI366"/>
  <c r="AC365"/>
  <c r="R365"/>
  <c r="M365"/>
  <c r="B365"/>
  <c r="AJ366"/>
  <c r="AG366"/>
  <c r="Y365"/>
  <c r="A366"/>
  <c r="E365"/>
  <c r="AH366"/>
  <c r="Q365"/>
  <c r="C365"/>
  <c r="N365"/>
  <c r="L365"/>
  <c r="F365"/>
  <c r="AA365"/>
  <c r="G365"/>
  <c r="S365"/>
  <c r="U366" l="1"/>
  <c r="AI367"/>
  <c r="AI369" s="1"/>
  <c r="X372" s="1"/>
  <c r="AH367"/>
  <c r="AH369" s="1"/>
  <c r="Y372" s="1"/>
  <c r="W366"/>
  <c r="W368" s="1"/>
  <c r="Y366"/>
  <c r="N366"/>
  <c r="AA366"/>
  <c r="AA368" s="1"/>
  <c r="L366"/>
  <c r="L368" s="1"/>
  <c r="B366"/>
  <c r="C366"/>
  <c r="Q366"/>
  <c r="G366"/>
  <c r="G368" s="1"/>
  <c r="AG367"/>
  <c r="Z366"/>
  <c r="Z368" s="1"/>
  <c r="F366"/>
  <c r="F368" s="1"/>
  <c r="S366"/>
  <c r="S368" s="1"/>
  <c r="R366"/>
  <c r="D366"/>
  <c r="AE366" s="1"/>
  <c r="AE368" s="1"/>
  <c r="AJ367"/>
  <c r="AJ369" s="1"/>
  <c r="Z372" s="1"/>
  <c r="AC366"/>
  <c r="AC368" s="1"/>
  <c r="E366"/>
  <c r="V366"/>
  <c r="V368" s="1"/>
  <c r="AK367"/>
  <c r="AK369" s="1"/>
  <c r="AA372" s="1"/>
  <c r="M366"/>
  <c r="M368" s="1"/>
  <c r="E103" l="1"/>
  <c r="E104"/>
  <c r="E105"/>
  <c r="E106"/>
  <c r="E107"/>
  <c r="E108"/>
  <c r="E109"/>
  <c r="E110"/>
  <c r="E111"/>
  <c r="E113"/>
  <c r="E112"/>
  <c r="E114"/>
  <c r="E115"/>
  <c r="E116"/>
  <c r="E117"/>
  <c r="E118"/>
  <c r="E119"/>
  <c r="E120"/>
  <c r="E121"/>
  <c r="E122"/>
  <c r="E123"/>
  <c r="E124"/>
  <c r="E125"/>
  <c r="E126"/>
  <c r="E11"/>
  <c r="E13"/>
  <c r="E12"/>
  <c r="E14"/>
  <c r="E15"/>
  <c r="E16"/>
  <c r="E18"/>
  <c r="E17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8"/>
  <c r="E57"/>
  <c r="E60"/>
  <c r="E59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100"/>
  <c r="E99"/>
  <c r="E101"/>
  <c r="E102"/>
  <c r="V372"/>
  <c r="W372"/>
  <c r="O6"/>
  <c r="O5"/>
  <c r="Q368"/>
  <c r="AB372"/>
  <c r="E8"/>
  <c r="E7"/>
  <c r="E10"/>
  <c r="E9"/>
  <c r="N103" l="1"/>
  <c r="N104"/>
  <c r="N105"/>
  <c r="N106"/>
  <c r="N107"/>
  <c r="N108"/>
  <c r="N109"/>
  <c r="N110"/>
  <c r="N111"/>
  <c r="N112"/>
  <c r="N113"/>
  <c r="N114"/>
  <c r="N115"/>
  <c r="N116"/>
  <c r="N117"/>
  <c r="N118"/>
  <c r="N119"/>
  <c r="N120"/>
  <c r="N121"/>
  <c r="N122"/>
  <c r="N123"/>
  <c r="N124"/>
  <c r="N125"/>
  <c r="N126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3"/>
  <c r="N94"/>
  <c r="N95"/>
  <c r="N96"/>
  <c r="N97"/>
  <c r="N98"/>
  <c r="N99"/>
  <c r="N100"/>
  <c r="N101"/>
  <c r="N102"/>
  <c r="E368"/>
  <c r="N6"/>
  <c r="R372"/>
  <c r="N7"/>
  <c r="N8"/>
  <c r="N9"/>
  <c r="N10"/>
  <c r="N368" l="1"/>
  <c r="P5"/>
  <c r="S372" s="1"/>
</calcChain>
</file>

<file path=xl/comments1.xml><?xml version="1.0" encoding="utf-8"?>
<comments xmlns="http://schemas.openxmlformats.org/spreadsheetml/2006/main">
  <authors>
    <author>A0000885</author>
  </authors>
  <commentList>
    <comment ref="Q7" authorId="0">
      <text>
        <r>
          <rPr>
            <b/>
            <sz val="8"/>
            <color indexed="81"/>
            <rFont val="Tahoma"/>
            <family val="2"/>
          </rPr>
          <t xml:space="preserve">PAGO FIJO
</t>
        </r>
      </text>
    </comment>
  </commentList>
</comments>
</file>

<file path=xl/sharedStrings.xml><?xml version="1.0" encoding="utf-8"?>
<sst xmlns="http://schemas.openxmlformats.org/spreadsheetml/2006/main" count="97" uniqueCount="78">
  <si>
    <t>Período</t>
  </si>
  <si>
    <t>Monto</t>
  </si>
  <si>
    <t>Esquema pago anticipado / REDUCE:</t>
  </si>
  <si>
    <t>Plazo en años</t>
  </si>
  <si>
    <t>No pagos al año</t>
  </si>
  <si>
    <t>Tasa SIN IVA</t>
  </si>
  <si>
    <t>Pago Mensual CON PAGOS ANTICIPADOS</t>
  </si>
  <si>
    <t xml:space="preserve"> F L U J O S  PARA CAT</t>
  </si>
  <si>
    <t>Plazo remanente</t>
  </si>
  <si>
    <t>NUEVO PAGO</t>
  </si>
  <si>
    <t>Saldo Insoluto / Sin de prepagos</t>
  </si>
  <si>
    <t>Interés sobre Saldo Insoluto / Sin de prepagos</t>
  </si>
  <si>
    <r>
      <t>REDUCE PLAZO Y PAGO</t>
    </r>
    <r>
      <rPr>
        <sz val="10"/>
        <rFont val="Arial"/>
        <family val="2"/>
      </rPr>
      <t xml:space="preserve">
Amortización original</t>
    </r>
  </si>
  <si>
    <t>Total pagos</t>
  </si>
  <si>
    <r>
      <t>REDUCE PAGO</t>
    </r>
    <r>
      <rPr>
        <sz val="10"/>
        <rFont val="Arial"/>
        <family val="2"/>
      </rPr>
      <t xml:space="preserve">
Amortización por diferencia</t>
    </r>
  </si>
  <si>
    <r>
      <t>REDUCE PLAZO</t>
    </r>
    <r>
      <rPr>
        <sz val="10"/>
        <rFont val="Arial"/>
        <family val="2"/>
      </rPr>
      <t xml:space="preserve">
Amortización por diferencia</t>
    </r>
  </si>
  <si>
    <r>
      <t>CONTADOR</t>
    </r>
    <r>
      <rPr>
        <sz val="10"/>
        <rFont val="Arial"/>
        <family val="2"/>
      </rPr>
      <t xml:space="preserve">
Plazo estimado con pagos anticipados</t>
    </r>
  </si>
  <si>
    <t>Tasa anual sin IVA</t>
  </si>
  <si>
    <t>CAT</t>
  </si>
  <si>
    <t>No.</t>
  </si>
  <si>
    <t>Tasa</t>
  </si>
  <si>
    <t>S.I.</t>
  </si>
  <si>
    <t>Cap.</t>
  </si>
  <si>
    <t>Int.</t>
  </si>
  <si>
    <t>Suma</t>
  </si>
  <si>
    <t>I.V.A.</t>
  </si>
  <si>
    <t>Suma VPN_Flujos</t>
  </si>
  <si>
    <t>VPN Flujos</t>
  </si>
  <si>
    <t>CONTRATO</t>
  </si>
  <si>
    <t>CEDENTE</t>
  </si>
  <si>
    <t>NUEVAS REGLAS DEL CAT 171109</t>
  </si>
  <si>
    <t>I.V.A. estimado</t>
  </si>
  <si>
    <t>Pago</t>
  </si>
  <si>
    <t>Amortización</t>
  </si>
  <si>
    <t>Interés sobre Saldo Insoluto</t>
  </si>
  <si>
    <t>Saldo Insoluto</t>
  </si>
  <si>
    <t>Frecuencia</t>
  </si>
  <si>
    <t>Crédito</t>
  </si>
  <si>
    <t>Plazo meses</t>
  </si>
  <si>
    <t>PA_Mes1</t>
  </si>
  <si>
    <t>PA_Monto1</t>
  </si>
  <si>
    <t>PA_Mes2</t>
  </si>
  <si>
    <t>PA_Monto2</t>
  </si>
  <si>
    <t>PA_Mes3</t>
  </si>
  <si>
    <t>PA_Monto3</t>
  </si>
  <si>
    <t>PA_Mes4</t>
  </si>
  <si>
    <t>PA_Monto4</t>
  </si>
  <si>
    <t>Pago fijo</t>
  </si>
  <si>
    <t>Reducción plazo en meses</t>
  </si>
  <si>
    <t>Plazo estimado</t>
  </si>
  <si>
    <t>Total amortizacion a capital</t>
  </si>
  <si>
    <t>Total suma Interés</t>
  </si>
  <si>
    <t>Total IVA estimado</t>
  </si>
  <si>
    <t>Total Pago</t>
  </si>
  <si>
    <t>Total Pago anticipado</t>
  </si>
  <si>
    <t>días</t>
  </si>
  <si>
    <t>Amortización a capital a mostrar en la tabla</t>
  </si>
  <si>
    <t>Saldo Final / Después de prepagos</t>
  </si>
  <si>
    <t>Pagos anticipados</t>
  </si>
  <si>
    <t>Com_apertura con IVA</t>
  </si>
  <si>
    <t>Hacer click para iniciar el proceso:</t>
  </si>
  <si>
    <t>Cálculo Masivo CAT</t>
  </si>
  <si>
    <t>PA Mes1</t>
  </si>
  <si>
    <t>PA Monto1</t>
  </si>
  <si>
    <t>PA Mes2</t>
  </si>
  <si>
    <t>PA Monto2</t>
  </si>
  <si>
    <t>PA Mes3</t>
  </si>
  <si>
    <t>PA Monto3</t>
  </si>
  <si>
    <t>PA Mes4</t>
  </si>
  <si>
    <t>PA Monto4</t>
  </si>
  <si>
    <t>Contrato</t>
  </si>
  <si>
    <t>Cedente</t>
  </si>
  <si>
    <t>Plazo Meses</t>
  </si>
  <si>
    <t>Comisión Apertura Sin Iva</t>
  </si>
  <si>
    <t>Esquema pago anticipado / Reduce:</t>
  </si>
  <si>
    <t>CAT Sin IVA</t>
  </si>
  <si>
    <t>Comisión Apertura con IVA</t>
  </si>
  <si>
    <t>QUINCENAL</t>
  </si>
</sst>
</file>

<file path=xl/styles.xml><?xml version="1.0" encoding="utf-8"?>
<styleSheet xmlns="http://schemas.openxmlformats.org/spreadsheetml/2006/main">
  <numFmts count="11">
    <numFmt numFmtId="8" formatCode="&quot;$&quot;#,##0.00;[Red]\-&quot;$&quot;#,##0.00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.000%"/>
    <numFmt numFmtId="167" formatCode="0.0000%"/>
    <numFmt numFmtId="168" formatCode="#,##0_ ;[Red]\-#,##0\ "/>
    <numFmt numFmtId="169" formatCode="#,##0.00_ ;[Red]\-#,##0.00\ "/>
    <numFmt numFmtId="170" formatCode="#,##0.0;[Red]\-#,##0.0"/>
    <numFmt numFmtId="171" formatCode="&quot;$&quot;#,##0.00"/>
    <numFmt numFmtId="172" formatCode="0.0%"/>
    <numFmt numFmtId="173" formatCode="#,##0.00000;[Red]\-#,##0.00000"/>
  </numFmts>
  <fonts count="17">
    <font>
      <sz val="8"/>
      <name val="Arial"/>
      <family val="2"/>
    </font>
    <font>
      <sz val="10"/>
      <name val="Book Antiqua"/>
      <family val="1"/>
    </font>
    <font>
      <sz val="8"/>
      <name val="Arial"/>
      <family val="2"/>
    </font>
    <font>
      <sz val="10"/>
      <name val="Arial"/>
      <family val="2"/>
    </font>
    <font>
      <sz val="10"/>
      <name val="Book Antiqua"/>
      <family val="1"/>
    </font>
    <font>
      <b/>
      <sz val="10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b/>
      <sz val="10"/>
      <color indexed="22"/>
      <name val="Arial"/>
      <family val="2"/>
    </font>
    <font>
      <sz val="10"/>
      <color indexed="22"/>
      <name val="Arial"/>
      <family val="2"/>
    </font>
    <font>
      <sz val="10"/>
      <color indexed="22"/>
      <name val="Book Antiqua"/>
      <family val="1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0"/>
      <color indexed="10"/>
      <name val="Book Antiqua"/>
      <family val="1"/>
    </font>
    <font>
      <b/>
      <sz val="15"/>
      <color theme="3"/>
      <name val="Calibri"/>
      <family val="2"/>
      <scheme val="minor"/>
    </font>
    <font>
      <b/>
      <sz val="8"/>
      <color theme="3"/>
      <name val="Arial"/>
      <family val="2"/>
    </font>
    <font>
      <b/>
      <sz val="8"/>
      <color rgb="FF000000"/>
      <name val="MS Sans Serif"/>
      <family val="2"/>
    </font>
  </fonts>
  <fills count="14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  <xf numFmtId="0" fontId="14" fillId="0" borderId="7" applyNumberFormat="0" applyFill="0" applyAlignment="0" applyProtection="0"/>
  </cellStyleXfs>
  <cellXfs count="111">
    <xf numFmtId="0" fontId="0" fillId="0" borderId="0" xfId="0"/>
    <xf numFmtId="40" fontId="3" fillId="0" borderId="0" xfId="3" applyNumberFormat="1" applyFont="1" applyFill="1" applyBorder="1" applyAlignment="1" applyProtection="1">
      <alignment horizontal="center" vertical="center" wrapText="1"/>
    </xf>
    <xf numFmtId="38" fontId="3" fillId="0" borderId="1" xfId="3" applyNumberFormat="1" applyFont="1" applyFill="1" applyBorder="1" applyAlignment="1" applyProtection="1">
      <alignment horizontal="center" vertical="center"/>
      <protection hidden="1"/>
    </xf>
    <xf numFmtId="10" fontId="3" fillId="0" borderId="0" xfId="4" applyNumberFormat="1" applyFont="1" applyFill="1" applyBorder="1" applyAlignment="1" applyProtection="1">
      <alignment horizontal="center" vertical="center"/>
      <protection hidden="1"/>
    </xf>
    <xf numFmtId="169" fontId="3" fillId="0" borderId="0" xfId="3" applyNumberFormat="1" applyFont="1" applyFill="1" applyBorder="1" applyAlignment="1" applyProtection="1">
      <alignment horizontal="center" vertical="center"/>
      <protection hidden="1"/>
    </xf>
    <xf numFmtId="40" fontId="3" fillId="0" borderId="0" xfId="3" applyNumberFormat="1" applyFont="1" applyFill="1" applyBorder="1" applyAlignment="1" applyProtection="1">
      <alignment horizontal="center" vertical="center"/>
    </xf>
    <xf numFmtId="38" fontId="3" fillId="0" borderId="0" xfId="3" applyNumberFormat="1" applyFont="1" applyFill="1" applyBorder="1" applyAlignment="1" applyProtection="1">
      <alignment horizontal="center" vertical="center"/>
      <protection hidden="1"/>
    </xf>
    <xf numFmtId="168" fontId="3" fillId="0" borderId="0" xfId="3" applyNumberFormat="1" applyFont="1" applyFill="1" applyBorder="1" applyAlignment="1" applyProtection="1">
      <alignment horizontal="center" vertical="center"/>
      <protection hidden="1"/>
    </xf>
    <xf numFmtId="169" fontId="3" fillId="0" borderId="2" xfId="3" applyNumberFormat="1" applyFont="1" applyFill="1" applyBorder="1" applyAlignment="1" applyProtection="1">
      <alignment horizontal="center" vertical="center"/>
      <protection hidden="1"/>
    </xf>
    <xf numFmtId="40" fontId="3" fillId="0" borderId="3" xfId="3" applyNumberFormat="1" applyFont="1" applyFill="1" applyBorder="1" applyAlignment="1" applyProtection="1">
      <alignment horizontal="center" vertical="center" wrapText="1"/>
    </xf>
    <xf numFmtId="170" fontId="3" fillId="0" borderId="0" xfId="3" applyNumberFormat="1" applyFont="1" applyFill="1" applyBorder="1" applyAlignment="1" applyProtection="1">
      <alignment horizontal="center" vertical="center"/>
      <protection hidden="1"/>
    </xf>
    <xf numFmtId="40" fontId="3" fillId="2" borderId="3" xfId="3" applyNumberFormat="1" applyFont="1" applyFill="1" applyBorder="1" applyAlignment="1" applyProtection="1">
      <alignment horizontal="center" vertical="center" wrapText="1"/>
    </xf>
    <xf numFmtId="0" fontId="0" fillId="0" borderId="0" xfId="0" applyFill="1" applyAlignment="1"/>
    <xf numFmtId="40" fontId="7" fillId="3" borderId="3" xfId="3" applyNumberFormat="1" applyFont="1" applyFill="1" applyBorder="1" applyAlignment="1" applyProtection="1">
      <alignment horizontal="center" vertical="center" wrapText="1"/>
      <protection hidden="1"/>
    </xf>
    <xf numFmtId="173" fontId="3" fillId="2" borderId="3" xfId="3" applyNumberFormat="1" applyFont="1" applyFill="1" applyBorder="1" applyAlignment="1" applyProtection="1">
      <alignment horizontal="center" vertical="center" wrapText="1"/>
    </xf>
    <xf numFmtId="173" fontId="3" fillId="0" borderId="0" xfId="4" applyNumberFormat="1" applyFont="1" applyFill="1" applyBorder="1" applyAlignment="1" applyProtection="1">
      <alignment horizontal="center" vertical="center"/>
      <protection hidden="1"/>
    </xf>
    <xf numFmtId="173" fontId="3" fillId="0" borderId="0" xfId="3" applyNumberFormat="1" applyFont="1" applyFill="1" applyBorder="1" applyAlignment="1" applyProtection="1">
      <alignment horizontal="center" vertical="center"/>
      <protection hidden="1"/>
    </xf>
    <xf numFmtId="173" fontId="3" fillId="0" borderId="0" xfId="3" applyNumberFormat="1" applyFont="1" applyFill="1" applyBorder="1" applyAlignment="1" applyProtection="1">
      <alignment horizontal="center" vertical="center" wrapText="1"/>
    </xf>
    <xf numFmtId="167" fontId="3" fillId="0" borderId="0" xfId="4" applyNumberFormat="1" applyFont="1" applyFill="1" applyBorder="1" applyAlignment="1" applyProtection="1">
      <alignment horizontal="center" vertical="center"/>
      <protection hidden="1"/>
    </xf>
    <xf numFmtId="40" fontId="9" fillId="4" borderId="3" xfId="3" applyNumberFormat="1" applyFont="1" applyFill="1" applyBorder="1" applyAlignment="1" applyProtection="1">
      <alignment horizontal="center" vertical="center" wrapText="1"/>
      <protection hidden="1"/>
    </xf>
    <xf numFmtId="40" fontId="8" fillId="4" borderId="3" xfId="3" applyNumberFormat="1" applyFont="1" applyFill="1" applyBorder="1" applyAlignment="1" applyProtection="1">
      <alignment horizontal="center" wrapText="1"/>
      <protection hidden="1"/>
    </xf>
    <xf numFmtId="40" fontId="9" fillId="4" borderId="3" xfId="3" applyNumberFormat="1" applyFont="1" applyFill="1" applyBorder="1" applyAlignment="1" applyProtection="1">
      <alignment vertical="center" wrapText="1"/>
      <protection hidden="1"/>
    </xf>
    <xf numFmtId="0" fontId="10" fillId="4" borderId="3" xfId="0" applyFont="1" applyFill="1" applyBorder="1" applyAlignment="1">
      <alignment vertical="center"/>
    </xf>
    <xf numFmtId="0" fontId="0" fillId="5" borderId="3" xfId="0" applyFill="1" applyBorder="1" applyAlignment="1">
      <alignment horizontal="center"/>
    </xf>
    <xf numFmtId="164" fontId="0" fillId="5" borderId="3" xfId="2" applyNumberFormat="1" applyFont="1" applyFill="1" applyBorder="1" applyAlignment="1">
      <alignment horizontal="center"/>
    </xf>
    <xf numFmtId="10" fontId="12" fillId="0" borderId="0" xfId="4" applyNumberFormat="1" applyFont="1" applyAlignment="1">
      <alignment horizontal="center"/>
    </xf>
    <xf numFmtId="0" fontId="12" fillId="0" borderId="0" xfId="0" applyFont="1" applyAlignment="1"/>
    <xf numFmtId="166" fontId="12" fillId="0" borderId="0" xfId="4" applyNumberFormat="1" applyFont="1" applyAlignment="1"/>
    <xf numFmtId="10" fontId="12" fillId="0" borderId="0" xfId="4" applyNumberFormat="1" applyFont="1" applyAlignment="1"/>
    <xf numFmtId="10" fontId="3" fillId="5" borderId="3" xfId="4" applyNumberFormat="1" applyFont="1" applyFill="1" applyBorder="1" applyAlignment="1">
      <alignment horizontal="center" vertical="center" wrapText="1"/>
    </xf>
    <xf numFmtId="171" fontId="3" fillId="5" borderId="3" xfId="0" applyNumberFormat="1" applyFont="1" applyFill="1" applyBorder="1" applyAlignment="1">
      <alignment horizontal="center" vertical="center" wrapText="1"/>
    </xf>
    <xf numFmtId="164" fontId="3" fillId="5" borderId="3" xfId="2" applyFont="1" applyFill="1" applyBorder="1" applyAlignment="1">
      <alignment horizontal="center" vertical="center" wrapText="1"/>
    </xf>
    <xf numFmtId="168" fontId="3" fillId="5" borderId="3" xfId="1" applyNumberFormat="1" applyFont="1" applyFill="1" applyBorder="1" applyAlignment="1">
      <alignment horizontal="center" vertical="center" wrapText="1"/>
    </xf>
    <xf numFmtId="169" fontId="0" fillId="5" borderId="0" xfId="0" applyNumberFormat="1" applyFill="1" applyAlignment="1"/>
    <xf numFmtId="40" fontId="3" fillId="6" borderId="0" xfId="3" applyNumberFormat="1" applyFont="1" applyFill="1" applyBorder="1" applyAlignment="1" applyProtection="1">
      <alignment horizontal="center" vertical="center"/>
    </xf>
    <xf numFmtId="40" fontId="3" fillId="6" borderId="0" xfId="3" applyNumberFormat="1" applyFont="1" applyFill="1" applyBorder="1" applyAlignment="1" applyProtection="1">
      <alignment horizontal="center" vertical="center" wrapText="1"/>
    </xf>
    <xf numFmtId="40" fontId="3" fillId="7" borderId="0" xfId="3" applyNumberFormat="1" applyFont="1" applyFill="1" applyBorder="1" applyAlignment="1" applyProtection="1">
      <alignment horizontal="center" vertical="center"/>
    </xf>
    <xf numFmtId="40" fontId="3" fillId="8" borderId="0" xfId="3" applyNumberFormat="1" applyFont="1" applyFill="1" applyBorder="1" applyAlignment="1" applyProtection="1">
      <alignment horizontal="center" vertical="center"/>
    </xf>
    <xf numFmtId="169" fontId="3" fillId="8" borderId="2" xfId="3" applyNumberFormat="1" applyFont="1" applyFill="1" applyBorder="1" applyAlignment="1" applyProtection="1">
      <alignment horizontal="center" vertical="center"/>
      <protection hidden="1"/>
    </xf>
    <xf numFmtId="169" fontId="3" fillId="7" borderId="2" xfId="3" applyNumberFormat="1" applyFont="1" applyFill="1" applyBorder="1" applyAlignment="1" applyProtection="1">
      <alignment horizontal="center" vertical="center"/>
      <protection hidden="1"/>
    </xf>
    <xf numFmtId="169" fontId="3" fillId="6" borderId="2" xfId="3" applyNumberFormat="1" applyFont="1" applyFill="1" applyBorder="1" applyAlignment="1" applyProtection="1">
      <alignment horizontal="center" vertical="center"/>
      <protection hidden="1"/>
    </xf>
    <xf numFmtId="40" fontId="3" fillId="9" borderId="0" xfId="3" applyNumberFormat="1" applyFont="1" applyFill="1" applyBorder="1" applyAlignment="1" applyProtection="1">
      <alignment horizontal="center" vertical="center"/>
    </xf>
    <xf numFmtId="40" fontId="3" fillId="9" borderId="0" xfId="3" applyNumberFormat="1" applyFont="1" applyFill="1" applyBorder="1" applyAlignment="1" applyProtection="1">
      <alignment horizontal="center" vertical="center" wrapText="1"/>
    </xf>
    <xf numFmtId="169" fontId="3" fillId="9" borderId="2" xfId="3" applyNumberFormat="1" applyFont="1" applyFill="1" applyBorder="1" applyAlignment="1" applyProtection="1">
      <alignment horizontal="center" vertical="center"/>
      <protection hidden="1"/>
    </xf>
    <xf numFmtId="40" fontId="3" fillId="10" borderId="0" xfId="3" applyNumberFormat="1" applyFont="1" applyFill="1" applyBorder="1" applyAlignment="1" applyProtection="1">
      <alignment horizontal="center" vertical="center" wrapText="1"/>
    </xf>
    <xf numFmtId="169" fontId="3" fillId="10" borderId="0" xfId="3" applyNumberFormat="1" applyFont="1" applyFill="1" applyBorder="1" applyAlignment="1" applyProtection="1">
      <alignment horizontal="center" vertical="center"/>
      <protection hidden="1"/>
    </xf>
    <xf numFmtId="40" fontId="3" fillId="10" borderId="0" xfId="3" applyNumberFormat="1" applyFont="1" applyFill="1" applyBorder="1" applyAlignment="1" applyProtection="1">
      <alignment horizontal="center" vertical="center"/>
    </xf>
    <xf numFmtId="169" fontId="3" fillId="10" borderId="2" xfId="3" applyNumberFormat="1" applyFont="1" applyFill="1" applyBorder="1" applyAlignment="1" applyProtection="1">
      <alignment horizontal="center" vertical="center"/>
      <protection hidden="1"/>
    </xf>
    <xf numFmtId="40" fontId="5" fillId="11" borderId="0" xfId="3" applyNumberFormat="1" applyFont="1" applyFill="1" applyBorder="1" applyAlignment="1" applyProtection="1">
      <alignment horizontal="center" vertical="center" wrapText="1"/>
    </xf>
    <xf numFmtId="164" fontId="3" fillId="2" borderId="3" xfId="2" applyFont="1" applyFill="1" applyBorder="1" applyAlignment="1" applyProtection="1">
      <alignment horizontal="center" vertical="center" wrapText="1"/>
    </xf>
    <xf numFmtId="164" fontId="0" fillId="0" borderId="0" xfId="2" applyFont="1" applyFill="1" applyAlignment="1"/>
    <xf numFmtId="164" fontId="12" fillId="0" borderId="0" xfId="2" applyFont="1" applyAlignment="1"/>
    <xf numFmtId="10" fontId="3" fillId="2" borderId="3" xfId="4" applyNumberFormat="1" applyFont="1" applyFill="1" applyBorder="1" applyAlignment="1" applyProtection="1">
      <alignment horizontal="center" vertical="center" wrapText="1"/>
    </xf>
    <xf numFmtId="167" fontId="0" fillId="0" borderId="0" xfId="4" applyNumberFormat="1" applyFont="1" applyFill="1" applyAlignment="1"/>
    <xf numFmtId="0" fontId="0" fillId="0" borderId="0" xfId="0" quotePrefix="1" applyNumberFormat="1" applyFill="1"/>
    <xf numFmtId="40" fontId="3" fillId="5" borderId="0" xfId="3" applyNumberFormat="1" applyFont="1" applyFill="1" applyBorder="1" applyAlignment="1" applyProtection="1">
      <alignment horizontal="center" vertical="center"/>
    </xf>
    <xf numFmtId="40" fontId="7" fillId="5" borderId="0" xfId="3" applyNumberFormat="1" applyFont="1" applyFill="1" applyBorder="1" applyAlignment="1" applyProtection="1">
      <alignment horizontal="center" vertical="center" wrapText="1"/>
    </xf>
    <xf numFmtId="40" fontId="7" fillId="5" borderId="0" xfId="3" applyNumberFormat="1" applyFont="1" applyFill="1" applyBorder="1" applyAlignment="1" applyProtection="1">
      <alignment horizontal="center" vertical="center"/>
    </xf>
    <xf numFmtId="169" fontId="7" fillId="5" borderId="2" xfId="3" applyNumberFormat="1" applyFont="1" applyFill="1" applyBorder="1" applyAlignment="1" applyProtection="1">
      <alignment horizontal="center" vertical="center"/>
      <protection hidden="1"/>
    </xf>
    <xf numFmtId="172" fontId="3" fillId="0" borderId="0" xfId="4" applyNumberFormat="1" applyFont="1" applyFill="1" applyBorder="1" applyAlignment="1" applyProtection="1">
      <alignment horizontal="center" vertical="center" wrapText="1"/>
    </xf>
    <xf numFmtId="0" fontId="14" fillId="0" borderId="7" xfId="5" applyAlignment="1"/>
    <xf numFmtId="10" fontId="14" fillId="0" borderId="7" xfId="5" applyNumberFormat="1" applyAlignment="1">
      <alignment horizontal="center"/>
    </xf>
    <xf numFmtId="10" fontId="12" fillId="12" borderId="0" xfId="4" applyNumberFormat="1" applyFont="1" applyFill="1" applyAlignment="1">
      <alignment horizontal="center"/>
    </xf>
    <xf numFmtId="8" fontId="3" fillId="2" borderId="3" xfId="2" applyNumberFormat="1" applyFont="1" applyFill="1" applyBorder="1" applyAlignment="1" applyProtection="1">
      <alignment horizontal="center" vertical="center" wrapText="1"/>
    </xf>
    <xf numFmtId="8" fontId="3" fillId="0" borderId="3" xfId="2" applyNumberFormat="1" applyFont="1" applyFill="1" applyBorder="1" applyAlignment="1" applyProtection="1">
      <alignment horizontal="center" vertical="center" wrapText="1"/>
    </xf>
    <xf numFmtId="0" fontId="12" fillId="0" borderId="0" xfId="0" applyFont="1" applyAlignment="1">
      <alignment horizontal="center"/>
    </xf>
    <xf numFmtId="8" fontId="14" fillId="0" borderId="7" xfId="5" applyNumberFormat="1" applyAlignment="1">
      <alignment horizontal="center"/>
    </xf>
    <xf numFmtId="8" fontId="12" fillId="0" borderId="0" xfId="2" applyNumberFormat="1" applyFont="1" applyAlignment="1">
      <alignment horizontal="center"/>
    </xf>
    <xf numFmtId="8" fontId="12" fillId="12" borderId="0" xfId="2" applyNumberFormat="1" applyFont="1" applyFill="1" applyAlignment="1">
      <alignment horizontal="center"/>
    </xf>
    <xf numFmtId="8" fontId="2" fillId="0" borderId="0" xfId="2" applyNumberFormat="1" applyFont="1" applyAlignment="1">
      <alignment horizontal="center"/>
    </xf>
    <xf numFmtId="166" fontId="14" fillId="0" borderId="7" xfId="5" applyNumberFormat="1" applyAlignment="1">
      <alignment horizontal="center"/>
    </xf>
    <xf numFmtId="166" fontId="12" fillId="0" borderId="0" xfId="4" applyNumberFormat="1" applyFont="1" applyAlignment="1">
      <alignment horizontal="center"/>
    </xf>
    <xf numFmtId="166" fontId="12" fillId="12" borderId="0" xfId="4" applyNumberFormat="1" applyFont="1" applyFill="1" applyAlignment="1">
      <alignment horizontal="center"/>
    </xf>
    <xf numFmtId="8" fontId="15" fillId="0" borderId="7" xfId="5" applyNumberFormat="1" applyFont="1" applyAlignment="1">
      <alignment horizontal="center"/>
    </xf>
    <xf numFmtId="8" fontId="2" fillId="12" borderId="0" xfId="2" applyNumberFormat="1" applyFont="1" applyFill="1" applyAlignment="1">
      <alignment horizontal="center"/>
    </xf>
    <xf numFmtId="1" fontId="15" fillId="0" borderId="7" xfId="5" applyNumberFormat="1" applyFont="1" applyAlignment="1">
      <alignment horizontal="center"/>
    </xf>
    <xf numFmtId="1" fontId="2" fillId="0" borderId="0" xfId="0" applyNumberFormat="1" applyFont="1" applyAlignment="1">
      <alignment horizontal="center"/>
    </xf>
    <xf numFmtId="1" fontId="2" fillId="12" borderId="0" xfId="0" applyNumberFormat="1" applyFont="1" applyFill="1" applyAlignment="1">
      <alignment horizontal="center"/>
    </xf>
    <xf numFmtId="1" fontId="3" fillId="2" borderId="3" xfId="3" applyNumberFormat="1" applyFont="1" applyFill="1" applyBorder="1" applyAlignment="1" applyProtection="1">
      <alignment horizontal="center" vertical="center" wrapText="1"/>
    </xf>
    <xf numFmtId="172" fontId="3" fillId="13" borderId="3" xfId="2" applyNumberFormat="1" applyFont="1" applyFill="1" applyBorder="1" applyAlignment="1" applyProtection="1">
      <alignment horizontal="center" vertical="center" wrapText="1"/>
    </xf>
    <xf numFmtId="0" fontId="5" fillId="12" borderId="0" xfId="0" applyFont="1" applyFill="1" applyAlignment="1">
      <alignment vertical="center"/>
    </xf>
    <xf numFmtId="1" fontId="14" fillId="0" borderId="7" xfId="5" applyNumberFormat="1" applyAlignment="1">
      <alignment horizontal="center"/>
    </xf>
    <xf numFmtId="1" fontId="12" fillId="0" borderId="0" xfId="0" applyNumberFormat="1" applyFont="1" applyAlignment="1">
      <alignment horizontal="center"/>
    </xf>
    <xf numFmtId="1" fontId="12" fillId="12" borderId="0" xfId="0" applyNumberFormat="1" applyFont="1" applyFill="1" applyAlignment="1">
      <alignment horizontal="center"/>
    </xf>
    <xf numFmtId="172" fontId="15" fillId="0" borderId="7" xfId="5" applyNumberFormat="1" applyFont="1" applyAlignment="1">
      <alignment horizontal="center"/>
    </xf>
    <xf numFmtId="172" fontId="2" fillId="0" borderId="0" xfId="2" applyNumberFormat="1" applyFont="1" applyAlignment="1">
      <alignment horizontal="center"/>
    </xf>
    <xf numFmtId="172" fontId="2" fillId="12" borderId="0" xfId="2" applyNumberFormat="1" applyFont="1" applyFill="1" applyAlignment="1">
      <alignment horizontal="center"/>
    </xf>
    <xf numFmtId="10" fontId="2" fillId="0" borderId="0" xfId="4" applyNumberFormat="1" applyFont="1" applyAlignment="1">
      <alignment horizontal="center"/>
    </xf>
    <xf numFmtId="0" fontId="2" fillId="0" borderId="0" xfId="4" applyNumberFormat="1" applyFont="1" applyAlignment="1">
      <alignment horizontal="center"/>
    </xf>
    <xf numFmtId="0" fontId="0" fillId="0" borderId="0" xfId="0" applyAlignment="1">
      <alignment horizontal="center"/>
    </xf>
    <xf numFmtId="40" fontId="7" fillId="5" borderId="3" xfId="3" applyNumberFormat="1" applyFont="1" applyFill="1" applyBorder="1" applyAlignment="1" applyProtection="1">
      <alignment horizontal="center" vertical="center" wrapText="1"/>
    </xf>
    <xf numFmtId="0" fontId="13" fillId="5" borderId="3" xfId="0" applyFont="1" applyFill="1" applyBorder="1" applyAlignment="1">
      <alignment horizontal="center"/>
    </xf>
    <xf numFmtId="40" fontId="7" fillId="5" borderId="3" xfId="3" applyNumberFormat="1" applyFont="1" applyFill="1" applyBorder="1" applyAlignment="1" applyProtection="1">
      <alignment horizontal="center" vertical="center" wrapText="1"/>
      <protection hidden="1"/>
    </xf>
    <xf numFmtId="168" fontId="3" fillId="0" borderId="4" xfId="3" applyNumberFormat="1" applyFont="1" applyFill="1" applyBorder="1" applyAlignment="1" applyProtection="1">
      <alignment horizontal="right" vertical="center"/>
      <protection hidden="1"/>
    </xf>
    <xf numFmtId="0" fontId="4" fillId="0" borderId="5" xfId="0" applyFont="1" applyFill="1" applyBorder="1"/>
    <xf numFmtId="0" fontId="4" fillId="0" borderId="6" xfId="0" applyFont="1" applyFill="1" applyBorder="1"/>
    <xf numFmtId="40" fontId="3" fillId="0" borderId="3" xfId="3" applyNumberFormat="1" applyFont="1" applyFill="1" applyBorder="1" applyAlignment="1" applyProtection="1">
      <alignment horizontal="center" vertical="center" wrapText="1"/>
      <protection hidden="1"/>
    </xf>
    <xf numFmtId="40" fontId="6" fillId="0" borderId="3" xfId="3" applyNumberFormat="1" applyFont="1" applyFill="1" applyBorder="1" applyAlignment="1" applyProtection="1">
      <alignment horizontal="center" vertical="center" wrapText="1"/>
      <protection hidden="1"/>
    </xf>
    <xf numFmtId="173" fontId="3" fillId="0" borderId="3" xfId="3" applyNumberFormat="1" applyFont="1" applyFill="1" applyBorder="1" applyAlignment="1" applyProtection="1">
      <alignment horizontal="center" vertical="center" wrapText="1"/>
      <protection hidden="1"/>
    </xf>
    <xf numFmtId="40" fontId="7" fillId="3" borderId="3" xfId="3" applyNumberFormat="1" applyFont="1" applyFill="1" applyBorder="1" applyAlignment="1" applyProtection="1">
      <alignment horizontal="center" vertical="center" wrapText="1"/>
      <protection hidden="1"/>
    </xf>
    <xf numFmtId="40" fontId="3" fillId="0" borderId="0" xfId="3" applyNumberFormat="1" applyFont="1" applyFill="1" applyBorder="1" applyAlignment="1" applyProtection="1">
      <alignment horizontal="center" vertical="center" wrapText="1"/>
    </xf>
    <xf numFmtId="40" fontId="5" fillId="7" borderId="3" xfId="3" applyNumberFormat="1" applyFont="1" applyFill="1" applyBorder="1" applyAlignment="1" applyProtection="1">
      <alignment horizontal="center" vertical="center" wrapText="1"/>
    </xf>
    <xf numFmtId="40" fontId="3" fillId="7" borderId="3" xfId="3" applyNumberFormat="1" applyFont="1" applyFill="1" applyBorder="1" applyAlignment="1" applyProtection="1">
      <alignment horizontal="center" vertical="center" wrapText="1"/>
    </xf>
    <xf numFmtId="40" fontId="5" fillId="8" borderId="3" xfId="3" applyNumberFormat="1" applyFont="1" applyFill="1" applyBorder="1" applyAlignment="1" applyProtection="1">
      <alignment horizontal="center" vertical="center" wrapText="1"/>
    </xf>
    <xf numFmtId="40" fontId="3" fillId="8" borderId="3" xfId="3" applyNumberFormat="1" applyFont="1" applyFill="1" applyBorder="1" applyAlignment="1" applyProtection="1">
      <alignment horizontal="center" vertical="center" wrapText="1"/>
    </xf>
    <xf numFmtId="40" fontId="3" fillId="6" borderId="3" xfId="3" applyNumberFormat="1" applyFont="1" applyFill="1" applyBorder="1" applyAlignment="1" applyProtection="1">
      <alignment horizontal="center" vertical="center" wrapText="1"/>
    </xf>
    <xf numFmtId="40" fontId="5" fillId="6" borderId="3" xfId="3" applyNumberFormat="1" applyFont="1" applyFill="1" applyBorder="1" applyAlignment="1" applyProtection="1">
      <alignment horizontal="center" vertical="center" wrapText="1"/>
    </xf>
    <xf numFmtId="40" fontId="3" fillId="10" borderId="3" xfId="3" applyNumberFormat="1" applyFont="1" applyFill="1" applyBorder="1" applyAlignment="1" applyProtection="1">
      <alignment horizontal="center" vertical="center" wrapText="1"/>
      <protection hidden="1"/>
    </xf>
    <xf numFmtId="40" fontId="5" fillId="9" borderId="3" xfId="3" applyNumberFormat="1" applyFont="1" applyFill="1" applyBorder="1" applyAlignment="1" applyProtection="1">
      <alignment horizontal="center" vertical="center" wrapText="1"/>
    </xf>
    <xf numFmtId="40" fontId="3" fillId="9" borderId="3" xfId="3" applyNumberFormat="1" applyFont="1" applyFill="1" applyBorder="1" applyAlignment="1" applyProtection="1">
      <alignment horizontal="center" vertical="center" wrapText="1"/>
    </xf>
    <xf numFmtId="40" fontId="3" fillId="9" borderId="3" xfId="3" applyNumberFormat="1" applyFont="1" applyFill="1" applyBorder="1" applyAlignment="1" applyProtection="1">
      <alignment horizontal="center" vertical="center" wrapText="1"/>
      <protection hidden="1"/>
    </xf>
  </cellXfs>
  <cellStyles count="6">
    <cellStyle name="Comma" xfId="1" builtinId="3"/>
    <cellStyle name="Currency" xfId="2" builtinId="4"/>
    <cellStyle name="Heading 1" xfId="5" builtinId="16"/>
    <cellStyle name="Normal" xfId="0" builtinId="0" customBuiltin="1"/>
    <cellStyle name="Normal_COTIZACION VALOR RESIDUAL" xfId="3"/>
    <cellStyle name="Percent" xfId="4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A0000885\Configuraci&#243;n%20local\Archivos%20temporales%20de%20Internet\OLKE\Simulador%20Hipotecario%20Banorte%20con%20Seguro%20Hipotecario%20(Cash%20back)%20280308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EGUROS"/>
      <sheetName val="Condiciones Genworth"/>
      <sheetName val="Pago creciente"/>
      <sheetName val="Cash back"/>
      <sheetName val="Destinos"/>
      <sheetName val="Plazo"/>
      <sheetName val="IVA"/>
      <sheetName val="Comisiones"/>
      <sheetName val="LEYENDAS"/>
      <sheetName val="MODIFICA TASA Y COMISIÓN"/>
      <sheetName val="Max  Min  y UDIS"/>
      <sheetName val="Tipo_simulación"/>
      <sheetName val="GastosNotariales"/>
      <sheetName val="Menú principal"/>
      <sheetName val="Cotización"/>
      <sheetName val="TablaCliente"/>
      <sheetName val="CAT"/>
      <sheetName val="tabla "/>
    </sheetNames>
    <sheetDataSet>
      <sheetData sheetId="0"/>
      <sheetData sheetId="1"/>
      <sheetData sheetId="2"/>
      <sheetData sheetId="3"/>
      <sheetData sheetId="4">
        <row r="16">
          <cell r="A16">
            <v>3</v>
          </cell>
        </row>
        <row r="56">
          <cell r="D56">
            <v>1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3"/>
  <dimension ref="A1:AB8"/>
  <sheetViews>
    <sheetView tabSelected="1" zoomScaleNormal="100" workbookViewId="0">
      <pane ySplit="5" topLeftCell="A6" activePane="bottomLeft" state="frozen"/>
      <selection pane="bottomLeft" activeCell="A6" sqref="A6"/>
    </sheetView>
  </sheetViews>
  <sheetFormatPr defaultColWidth="11.5" defaultRowHeight="11.25"/>
  <cols>
    <col min="1" max="1" width="13.1640625" style="65" customWidth="1"/>
    <col min="2" max="2" width="12.5" style="67" customWidth="1"/>
    <col min="3" max="3" width="11.83203125" style="82" customWidth="1"/>
    <col min="4" max="4" width="11.83203125" style="25" customWidth="1"/>
    <col min="5" max="5" width="15.33203125" style="67" customWidth="1"/>
    <col min="6" max="6" width="11.5" style="25" customWidth="1"/>
    <col min="7" max="7" width="15.33203125" style="82" customWidth="1"/>
    <col min="8" max="8" width="11.83203125" style="82" customWidth="1"/>
    <col min="9" max="9" width="11.83203125" style="67" customWidth="1"/>
    <col min="10" max="10" width="11.83203125" style="82" customWidth="1"/>
    <col min="11" max="11" width="11.83203125" style="67" customWidth="1"/>
    <col min="12" max="12" width="11.83203125" style="82" customWidth="1"/>
    <col min="13" max="13" width="11.83203125" style="67" customWidth="1"/>
    <col min="14" max="14" width="11.83203125" style="82" customWidth="1"/>
    <col min="15" max="15" width="11.83203125" style="67" customWidth="1"/>
    <col min="16" max="16" width="9.33203125" style="71" bestFit="1" customWidth="1"/>
    <col min="17" max="17" width="9.1640625" style="71" bestFit="1" customWidth="1"/>
    <col min="18" max="18" width="15.33203125" style="85" customWidth="1"/>
    <col min="19" max="21" width="15.33203125" style="69" customWidth="1"/>
    <col min="22" max="23" width="12.83203125" style="76" customWidth="1"/>
    <col min="24" max="28" width="15.33203125" style="69" customWidth="1"/>
    <col min="29" max="16384" width="11.5" style="26"/>
  </cols>
  <sheetData>
    <row r="1" spans="1:28" ht="20.25" thickBot="1">
      <c r="A1" s="60" t="s">
        <v>61</v>
      </c>
      <c r="B1" s="66"/>
      <c r="C1" s="81"/>
      <c r="D1" s="61"/>
      <c r="E1" s="66"/>
      <c r="F1" s="61"/>
      <c r="G1" s="81"/>
      <c r="H1" s="81"/>
      <c r="I1" s="66"/>
      <c r="J1" s="81"/>
      <c r="K1" s="66"/>
      <c r="L1" s="81"/>
      <c r="M1" s="66"/>
      <c r="N1" s="81"/>
      <c r="O1" s="66"/>
      <c r="P1" s="70"/>
      <c r="Q1" s="70"/>
      <c r="R1" s="84"/>
      <c r="S1" s="73"/>
      <c r="T1" s="73"/>
      <c r="U1" s="73"/>
      <c r="V1" s="75"/>
      <c r="W1" s="75"/>
      <c r="X1" s="73"/>
      <c r="Y1" s="73"/>
      <c r="Z1" s="73"/>
      <c r="AA1" s="73"/>
      <c r="AB1" s="73"/>
    </row>
    <row r="2" spans="1:28" ht="12" thickTop="1"/>
    <row r="3" spans="1:28" ht="24" customHeight="1">
      <c r="A3" s="80" t="s">
        <v>60</v>
      </c>
      <c r="B3" s="68"/>
      <c r="C3" s="83"/>
      <c r="D3" s="62"/>
      <c r="E3" s="68"/>
      <c r="F3" s="62"/>
      <c r="G3" s="83"/>
      <c r="H3" s="83"/>
      <c r="I3" s="68"/>
      <c r="J3" s="83"/>
      <c r="K3" s="68"/>
      <c r="L3" s="83"/>
      <c r="M3" s="68"/>
      <c r="N3" s="83"/>
      <c r="O3" s="68"/>
      <c r="P3" s="72"/>
      <c r="Q3" s="72"/>
      <c r="R3" s="86"/>
      <c r="S3" s="74"/>
      <c r="T3" s="74"/>
      <c r="U3" s="74"/>
      <c r="V3" s="77"/>
      <c r="W3" s="77"/>
      <c r="X3" s="74"/>
      <c r="Y3" s="74"/>
      <c r="Z3" s="74"/>
      <c r="AA3" s="74"/>
      <c r="AB3" s="74"/>
    </row>
    <row r="5" spans="1:28" s="1" customFormat="1" ht="51">
      <c r="A5" s="49" t="s">
        <v>36</v>
      </c>
      <c r="B5" s="63" t="s">
        <v>37</v>
      </c>
      <c r="C5" s="78" t="s">
        <v>72</v>
      </c>
      <c r="D5" s="52" t="s">
        <v>20</v>
      </c>
      <c r="E5" s="63" t="s">
        <v>73</v>
      </c>
      <c r="F5" s="52" t="s">
        <v>25</v>
      </c>
      <c r="G5" s="78" t="s">
        <v>74</v>
      </c>
      <c r="H5" s="78" t="s">
        <v>62</v>
      </c>
      <c r="I5" s="63" t="s">
        <v>63</v>
      </c>
      <c r="J5" s="78" t="s">
        <v>64</v>
      </c>
      <c r="K5" s="63" t="s">
        <v>65</v>
      </c>
      <c r="L5" s="78" t="s">
        <v>66</v>
      </c>
      <c r="M5" s="63" t="s">
        <v>67</v>
      </c>
      <c r="N5" s="78" t="s">
        <v>68</v>
      </c>
      <c r="O5" s="63" t="s">
        <v>69</v>
      </c>
      <c r="P5" s="9" t="s">
        <v>70</v>
      </c>
      <c r="Q5" s="9" t="s">
        <v>71</v>
      </c>
      <c r="R5" s="79" t="s">
        <v>75</v>
      </c>
      <c r="S5" s="64" t="s">
        <v>26</v>
      </c>
      <c r="T5" s="63" t="s">
        <v>47</v>
      </c>
      <c r="U5" s="63" t="s">
        <v>76</v>
      </c>
      <c r="V5" s="78" t="s">
        <v>48</v>
      </c>
      <c r="W5" s="78" t="s">
        <v>49</v>
      </c>
      <c r="X5" s="63" t="s">
        <v>50</v>
      </c>
      <c r="Y5" s="63" t="s">
        <v>51</v>
      </c>
      <c r="Z5" s="63" t="s">
        <v>52</v>
      </c>
      <c r="AA5" s="63" t="s">
        <v>53</v>
      </c>
      <c r="AB5" s="63" t="s">
        <v>54</v>
      </c>
    </row>
    <row r="6" spans="1:28">
      <c r="A6" s="89" t="s">
        <v>77</v>
      </c>
      <c r="B6" s="67">
        <v>41528</v>
      </c>
      <c r="C6" s="76">
        <v>36</v>
      </c>
      <c r="D6" s="25">
        <v>0.24326992859938501</v>
      </c>
      <c r="E6" s="69">
        <v>240</v>
      </c>
      <c r="F6" s="87">
        <v>0.16</v>
      </c>
      <c r="G6" s="76">
        <v>0</v>
      </c>
      <c r="H6" s="76">
        <v>0</v>
      </c>
      <c r="I6" s="69">
        <v>0</v>
      </c>
      <c r="J6" s="76">
        <v>0</v>
      </c>
      <c r="K6" s="69">
        <v>0</v>
      </c>
      <c r="L6" s="76">
        <v>0</v>
      </c>
      <c r="M6" s="69">
        <v>0</v>
      </c>
      <c r="N6" s="76">
        <v>0</v>
      </c>
      <c r="O6" s="69">
        <v>0</v>
      </c>
      <c r="P6" s="88">
        <v>1</v>
      </c>
      <c r="Q6" s="88">
        <v>3</v>
      </c>
      <c r="R6" s="85">
        <v>0.27929750163475142</v>
      </c>
      <c r="S6" s="69">
        <v>7.127596290956717E-10</v>
      </c>
      <c r="T6" s="69">
        <v>858.15546435825104</v>
      </c>
      <c r="U6" s="69">
        <v>278.39999999999998</v>
      </c>
      <c r="V6" s="76">
        <v>0</v>
      </c>
      <c r="W6" s="76">
        <v>72</v>
      </c>
      <c r="X6" s="69">
        <v>41528</v>
      </c>
      <c r="Y6" s="69">
        <v>17464.82192568406</v>
      </c>
      <c r="Z6" s="69">
        <v>2794.371508109452</v>
      </c>
      <c r="AA6" s="69">
        <v>61787.193433793444</v>
      </c>
      <c r="AB6" s="69">
        <v>0</v>
      </c>
    </row>
    <row r="7" spans="1:28">
      <c r="A7" s="89" t="s">
        <v>77</v>
      </c>
      <c r="B7" s="67">
        <v>41528</v>
      </c>
      <c r="C7" s="76">
        <v>36</v>
      </c>
      <c r="D7" s="25">
        <v>0.24326992859938501</v>
      </c>
      <c r="E7" s="69">
        <v>0</v>
      </c>
      <c r="F7" s="87">
        <v>0.16</v>
      </c>
      <c r="G7" s="76">
        <v>0</v>
      </c>
      <c r="H7" s="76">
        <v>0</v>
      </c>
      <c r="I7" s="69">
        <v>0</v>
      </c>
      <c r="J7" s="76">
        <v>0</v>
      </c>
      <c r="K7" s="69">
        <v>0</v>
      </c>
      <c r="L7" s="76">
        <v>0</v>
      </c>
      <c r="M7" s="69">
        <v>0</v>
      </c>
      <c r="N7" s="76">
        <v>0</v>
      </c>
      <c r="O7" s="69">
        <v>0</v>
      </c>
      <c r="P7" s="88">
        <v>2</v>
      </c>
      <c r="Q7" s="88">
        <v>2</v>
      </c>
      <c r="R7" s="85">
        <v>0.27385186540168194</v>
      </c>
      <c r="S7" s="69">
        <v>2.3470647647627629E-10</v>
      </c>
      <c r="T7" s="69">
        <v>858.15546435825104</v>
      </c>
      <c r="U7" s="69">
        <v>0</v>
      </c>
      <c r="V7" s="76">
        <v>0</v>
      </c>
      <c r="W7" s="76">
        <v>72</v>
      </c>
      <c r="X7" s="69">
        <v>41528</v>
      </c>
      <c r="Y7" s="69">
        <v>17464.82192568406</v>
      </c>
      <c r="Z7" s="69">
        <v>2794.371508109452</v>
      </c>
      <c r="AA7" s="69">
        <v>61787.193433793444</v>
      </c>
      <c r="AB7" s="69">
        <v>0</v>
      </c>
    </row>
    <row r="8" spans="1:28">
      <c r="A8" s="89" t="s">
        <v>77</v>
      </c>
      <c r="B8" s="67">
        <v>10000</v>
      </c>
      <c r="C8" s="76">
        <v>2</v>
      </c>
      <c r="D8" s="25">
        <v>0.37</v>
      </c>
      <c r="E8" s="69">
        <v>50</v>
      </c>
      <c r="F8" s="87">
        <v>0.16</v>
      </c>
      <c r="G8" s="76">
        <v>0</v>
      </c>
      <c r="H8" s="76">
        <v>0</v>
      </c>
      <c r="I8" s="69">
        <v>0</v>
      </c>
      <c r="J8" s="76">
        <v>0</v>
      </c>
      <c r="K8" s="69">
        <v>0</v>
      </c>
      <c r="L8" s="76">
        <v>0</v>
      </c>
      <c r="M8" s="69">
        <v>0</v>
      </c>
      <c r="N8" s="76">
        <v>0</v>
      </c>
      <c r="O8" s="69">
        <v>0</v>
      </c>
      <c r="P8" s="88">
        <v>3</v>
      </c>
      <c r="Q8" s="88">
        <v>1</v>
      </c>
      <c r="R8" s="85">
        <v>0.51533329757716873</v>
      </c>
      <c r="S8" s="69">
        <v>1.6742887964937836E-8</v>
      </c>
      <c r="T8" s="69">
        <v>2612.7613313722818</v>
      </c>
      <c r="U8" s="69">
        <v>57.999999999999993</v>
      </c>
      <c r="V8" s="76">
        <v>0</v>
      </c>
      <c r="W8" s="76">
        <v>4</v>
      </c>
      <c r="X8" s="69">
        <v>10000</v>
      </c>
      <c r="Y8" s="69">
        <v>388.83217714576148</v>
      </c>
      <c r="Z8" s="69">
        <v>62.213148343321841</v>
      </c>
      <c r="AA8" s="69">
        <v>10451.045325489084</v>
      </c>
      <c r="AB8" s="69">
        <v>0</v>
      </c>
    </row>
  </sheetData>
  <phoneticPr fontId="0" type="noConversion"/>
  <pageMargins left="0.75" right="0.75" top="1" bottom="1" header="0" footer="0"/>
  <pageSetup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1:B5"/>
  <sheetViews>
    <sheetView workbookViewId="0"/>
  </sheetViews>
  <sheetFormatPr defaultColWidth="11.5" defaultRowHeight="11.25"/>
  <cols>
    <col min="2" max="2" width="14.5" customWidth="1"/>
  </cols>
  <sheetData>
    <row r="1" spans="1:2">
      <c r="A1" s="23" t="s">
        <v>0</v>
      </c>
      <c r="B1" s="23" t="s">
        <v>1</v>
      </c>
    </row>
    <row r="2" spans="1:2">
      <c r="A2" s="23">
        <f>+Tabla_CAT!$H$2</f>
        <v>0</v>
      </c>
      <c r="B2" s="24">
        <f>+Tabla_CAT!I$2</f>
        <v>0</v>
      </c>
    </row>
    <row r="3" spans="1:2">
      <c r="A3" s="23">
        <f>+Tabla_CAT!$J$2</f>
        <v>0</v>
      </c>
      <c r="B3" s="24">
        <f>+Tabla_CAT!K$2</f>
        <v>0</v>
      </c>
    </row>
    <row r="4" spans="1:2">
      <c r="A4" s="23">
        <f>+Tabla_CAT!$L$2</f>
        <v>0</v>
      </c>
      <c r="B4" s="24">
        <f>+Tabla_CAT!M$2</f>
        <v>0</v>
      </c>
    </row>
    <row r="5" spans="1:2">
      <c r="A5" s="23">
        <f>+Tabla_CAT!$N$2</f>
        <v>0</v>
      </c>
      <c r="B5" s="24">
        <f>+Tabla_CAT!O$2</f>
        <v>0</v>
      </c>
    </row>
  </sheetData>
  <phoneticPr fontId="0" type="noConversion"/>
  <pageMargins left="0.75" right="0.75" top="1" bottom="1" header="0" footer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1">
    <pageSetUpPr fitToPage="1"/>
  </sheetPr>
  <dimension ref="A1:AK372"/>
  <sheetViews>
    <sheetView zoomScaleNormal="10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ColWidth="10.83203125" defaultRowHeight="12.75"/>
  <cols>
    <col min="1" max="1" width="13.83203125" style="1" customWidth="1"/>
    <col min="2" max="2" width="13.6640625" style="1" customWidth="1"/>
    <col min="3" max="3" width="12.33203125" style="17" customWidth="1"/>
    <col min="4" max="5" width="12.33203125" style="1" customWidth="1"/>
    <col min="6" max="6" width="13" style="1" customWidth="1"/>
    <col min="7" max="7" width="18.5" style="1" customWidth="1"/>
    <col min="8" max="8" width="10.83203125" style="1" customWidth="1"/>
    <col min="9" max="9" width="11.6640625" style="1" customWidth="1"/>
    <col min="10" max="10" width="20.33203125" style="1" customWidth="1"/>
    <col min="11" max="11" width="17" style="1" customWidth="1"/>
    <col min="12" max="12" width="24.83203125" style="1" customWidth="1"/>
    <col min="13" max="13" width="19.83203125" style="1" customWidth="1"/>
    <col min="14" max="15" width="14.33203125" style="1" customWidth="1"/>
    <col min="16" max="16" width="12.5" style="1" customWidth="1"/>
    <col min="17" max="17" width="14.1640625" style="1" customWidth="1"/>
    <col min="18" max="18" width="12.83203125" style="1" customWidth="1"/>
    <col min="19" max="19" width="14.5" style="1" customWidth="1"/>
    <col min="20" max="20" width="10.83203125" style="1" customWidth="1"/>
    <col min="21" max="21" width="18.6640625" style="1" customWidth="1"/>
    <col min="22" max="22" width="14.33203125" style="1" customWidth="1"/>
    <col min="23" max="23" width="13.33203125" style="1" customWidth="1"/>
    <col min="24" max="24" width="11.33203125" style="1" customWidth="1"/>
    <col min="25" max="25" width="14.1640625" style="1" customWidth="1"/>
    <col min="26" max="26" width="10.83203125" style="1" customWidth="1"/>
    <col min="27" max="27" width="12.6640625" style="1" customWidth="1"/>
    <col min="28" max="30" width="10.83203125" style="1" customWidth="1"/>
    <col min="31" max="31" width="13.5" style="1" customWidth="1"/>
    <col min="32" max="34" width="10.83203125" style="1" customWidth="1"/>
    <col min="35" max="35" width="12.5" style="1" customWidth="1"/>
    <col min="36" max="16384" width="10.83203125" style="1"/>
  </cols>
  <sheetData>
    <row r="1" spans="1:37" ht="38.25">
      <c r="A1" s="11" t="s">
        <v>36</v>
      </c>
      <c r="B1" s="11" t="s">
        <v>37</v>
      </c>
      <c r="C1" s="14" t="s">
        <v>38</v>
      </c>
      <c r="D1" s="11" t="s">
        <v>17</v>
      </c>
      <c r="E1" s="11" t="s">
        <v>59</v>
      </c>
      <c r="F1" s="11" t="s">
        <v>25</v>
      </c>
      <c r="G1" s="11" t="s">
        <v>2</v>
      </c>
      <c r="H1" s="11" t="s">
        <v>39</v>
      </c>
      <c r="I1" s="11" t="s">
        <v>40</v>
      </c>
      <c r="J1" s="11" t="s">
        <v>41</v>
      </c>
      <c r="K1" s="11" t="s">
        <v>42</v>
      </c>
      <c r="L1" s="11" t="s">
        <v>43</v>
      </c>
      <c r="M1" s="11" t="s">
        <v>44</v>
      </c>
      <c r="N1" s="11" t="s">
        <v>45</v>
      </c>
      <c r="O1" s="11" t="s">
        <v>46</v>
      </c>
      <c r="P1" s="9" t="s">
        <v>28</v>
      </c>
      <c r="Q1" s="9" t="s">
        <v>29</v>
      </c>
    </row>
    <row r="2" spans="1:37" s="12" customFormat="1">
      <c r="A2" s="26" t="s">
        <v>77</v>
      </c>
      <c r="B2" s="51">
        <v>10000</v>
      </c>
      <c r="C2" s="26">
        <v>2</v>
      </c>
      <c r="D2" s="28">
        <v>0.37</v>
      </c>
      <c r="E2" s="51">
        <v>50</v>
      </c>
      <c r="F2" s="28">
        <v>0.16</v>
      </c>
      <c r="G2" s="26">
        <v>0</v>
      </c>
      <c r="H2" s="26">
        <v>0</v>
      </c>
      <c r="I2" s="51">
        <v>0</v>
      </c>
      <c r="J2" s="26">
        <v>0</v>
      </c>
      <c r="K2" s="51">
        <v>0</v>
      </c>
      <c r="L2" s="26">
        <v>0</v>
      </c>
      <c r="M2" s="51">
        <v>0</v>
      </c>
      <c r="N2" s="26">
        <v>0</v>
      </c>
      <c r="O2" s="51">
        <v>0</v>
      </c>
      <c r="P2" s="54">
        <v>3</v>
      </c>
      <c r="Q2" s="27">
        <v>1</v>
      </c>
      <c r="R2" s="53"/>
      <c r="S2" s="53">
        <v>2.4874680093489587E-10</v>
      </c>
      <c r="T2" s="50">
        <v>2612.7613313722723</v>
      </c>
      <c r="U2" s="50">
        <v>57.999999999999993</v>
      </c>
      <c r="V2" s="12">
        <v>0</v>
      </c>
      <c r="W2" s="12">
        <v>4</v>
      </c>
      <c r="X2" s="50">
        <v>10000.000000000005</v>
      </c>
      <c r="Y2" s="50">
        <v>388.83217714576239</v>
      </c>
      <c r="Z2" s="50">
        <v>62.21314834332199</v>
      </c>
      <c r="AA2" s="50">
        <v>10451.045325489089</v>
      </c>
      <c r="AB2" s="50">
        <v>0</v>
      </c>
      <c r="AG2" s="1"/>
      <c r="AH2" s="1" t="b">
        <v>1</v>
      </c>
      <c r="AI2" s="1"/>
      <c r="AJ2" s="1"/>
      <c r="AK2" s="1"/>
    </row>
    <row r="3" spans="1:37" ht="25.5" customHeight="1">
      <c r="A3" s="96" t="s">
        <v>19</v>
      </c>
      <c r="B3" s="97" t="s">
        <v>55</v>
      </c>
      <c r="C3" s="98" t="s">
        <v>5</v>
      </c>
      <c r="D3" s="96" t="s">
        <v>21</v>
      </c>
      <c r="E3" s="96" t="s">
        <v>22</v>
      </c>
      <c r="F3" s="96" t="s">
        <v>23</v>
      </c>
      <c r="G3" s="96" t="s">
        <v>25</v>
      </c>
      <c r="H3" s="20"/>
      <c r="I3" s="13" t="s">
        <v>3</v>
      </c>
      <c r="J3" s="13" t="s">
        <v>4</v>
      </c>
      <c r="K3" s="13" t="s">
        <v>13</v>
      </c>
      <c r="L3" s="99" t="s">
        <v>58</v>
      </c>
      <c r="M3" s="96" t="s">
        <v>6</v>
      </c>
      <c r="N3" s="96" t="s">
        <v>27</v>
      </c>
      <c r="Q3" s="107" t="s">
        <v>7</v>
      </c>
      <c r="R3" s="107" t="s">
        <v>57</v>
      </c>
      <c r="S3" s="107" t="s">
        <v>56</v>
      </c>
      <c r="T3" s="5"/>
      <c r="U3" s="110" t="s">
        <v>10</v>
      </c>
      <c r="V3" s="110" t="s">
        <v>11</v>
      </c>
      <c r="W3" s="108" t="s">
        <v>12</v>
      </c>
      <c r="Y3" s="105" t="s">
        <v>8</v>
      </c>
      <c r="Z3" s="105" t="s">
        <v>9</v>
      </c>
      <c r="AA3" s="106" t="s">
        <v>14</v>
      </c>
      <c r="AB3" s="100"/>
      <c r="AC3" s="101" t="s">
        <v>15</v>
      </c>
      <c r="AD3" s="100"/>
      <c r="AE3" s="103" t="s">
        <v>16</v>
      </c>
      <c r="AF3" s="5"/>
      <c r="AG3" s="91" t="s">
        <v>30</v>
      </c>
      <c r="AH3" s="91"/>
      <c r="AI3" s="91"/>
      <c r="AJ3" s="91"/>
      <c r="AK3" s="91"/>
    </row>
    <row r="4" spans="1:37" ht="38.25">
      <c r="A4" s="96"/>
      <c r="B4" s="97"/>
      <c r="C4" s="98"/>
      <c r="D4" s="96"/>
      <c r="E4" s="96"/>
      <c r="F4" s="96"/>
      <c r="G4" s="96"/>
      <c r="H4" s="21"/>
      <c r="I4" s="13">
        <f>+$C$2*0.0833333333333333</f>
        <v>0.1666666666666666</v>
      </c>
      <c r="J4" s="13">
        <f>IF(A7="","",IF($A$2="mensual",12,IF($A$2="quincenal",24,IF($A$2="catorcenal",26,IF($A$2="decenal",36,IF($A$2="semanal",52))))))</f>
        <v>24</v>
      </c>
      <c r="K4" s="13">
        <f>+I4*J4</f>
        <v>3.9999999999999982</v>
      </c>
      <c r="L4" s="99"/>
      <c r="M4" s="96"/>
      <c r="N4" s="96"/>
      <c r="O4" s="9" t="s">
        <v>18</v>
      </c>
      <c r="P4" s="9" t="s">
        <v>26</v>
      </c>
      <c r="Q4" s="107"/>
      <c r="R4" s="107"/>
      <c r="S4" s="107"/>
      <c r="T4" s="5"/>
      <c r="U4" s="110"/>
      <c r="V4" s="110"/>
      <c r="W4" s="109"/>
      <c r="Y4" s="105"/>
      <c r="Z4" s="105"/>
      <c r="AA4" s="105"/>
      <c r="AB4" s="100"/>
      <c r="AC4" s="102"/>
      <c r="AD4" s="100"/>
      <c r="AE4" s="104"/>
      <c r="AF4" s="5"/>
      <c r="AG4" s="92" t="s">
        <v>35</v>
      </c>
      <c r="AH4" s="92" t="s">
        <v>34</v>
      </c>
      <c r="AI4" s="90" t="s">
        <v>33</v>
      </c>
      <c r="AJ4" s="90" t="s">
        <v>31</v>
      </c>
      <c r="AK4" s="90" t="s">
        <v>32</v>
      </c>
    </row>
    <row r="5" spans="1:37" ht="12.75" customHeight="1">
      <c r="A5" s="96"/>
      <c r="B5" s="97"/>
      <c r="C5" s="98"/>
      <c r="D5" s="96"/>
      <c r="E5" s="96"/>
      <c r="F5" s="96"/>
      <c r="G5" s="96"/>
      <c r="H5" s="22"/>
      <c r="I5" s="19"/>
      <c r="J5" s="19"/>
      <c r="K5" s="19"/>
      <c r="L5" s="99"/>
      <c r="M5" s="96"/>
      <c r="N5" s="96"/>
      <c r="O5" s="59">
        <f>EFFECT(IRR($Q$6:$Q$366,0)*+$J$4,$J$4)</f>
        <v>0.51533329757716873</v>
      </c>
      <c r="P5" s="1">
        <f>SUM(N6:N366)</f>
        <v>1.6742887964937836E-8</v>
      </c>
      <c r="Q5" s="107"/>
      <c r="R5" s="107"/>
      <c r="S5" s="107"/>
      <c r="T5" s="5"/>
      <c r="U5" s="110"/>
      <c r="V5" s="110"/>
      <c r="W5" s="109"/>
      <c r="Y5" s="105"/>
      <c r="Z5" s="105"/>
      <c r="AA5" s="105"/>
      <c r="AB5" s="100"/>
      <c r="AC5" s="102"/>
      <c r="AD5" s="100"/>
      <c r="AE5" s="104"/>
      <c r="AF5" s="5"/>
      <c r="AG5" s="92"/>
      <c r="AH5" s="92"/>
      <c r="AI5" s="90"/>
      <c r="AJ5" s="90"/>
      <c r="AK5" s="90"/>
    </row>
    <row r="6" spans="1:37">
      <c r="A6" s="2">
        <v>0</v>
      </c>
      <c r="B6" s="10"/>
      <c r="C6" s="15"/>
      <c r="D6" s="4"/>
      <c r="E6" s="4"/>
      <c r="F6" s="4"/>
      <c r="G6" s="4"/>
      <c r="H6" s="4"/>
      <c r="I6" s="4"/>
      <c r="J6" s="4"/>
      <c r="K6" s="4"/>
      <c r="L6" s="4"/>
      <c r="N6" s="1">
        <f>IF(A6="",0,+Q6/(1+$O$5)^(A6/No_pagos_al_año))</f>
        <v>-9950</v>
      </c>
      <c r="O6" s="59">
        <f>((1+IRR($Q$6:$Q$366,0))^J4)-1</f>
        <v>0.51533329757716873</v>
      </c>
      <c r="Q6" s="44">
        <f>-$B$2+$E$2</f>
        <v>-9950</v>
      </c>
      <c r="R6" s="44"/>
      <c r="S6" s="44"/>
      <c r="T6" s="5"/>
      <c r="U6" s="41"/>
      <c r="V6" s="41"/>
      <c r="W6" s="41"/>
      <c r="X6" s="5"/>
      <c r="Y6" s="34"/>
      <c r="Z6" s="34"/>
      <c r="AA6" s="34"/>
      <c r="AB6" s="5"/>
      <c r="AC6" s="36"/>
      <c r="AD6" s="5"/>
      <c r="AE6" s="37"/>
      <c r="AF6" s="5"/>
      <c r="AG6" s="92"/>
      <c r="AH6" s="92"/>
      <c r="AI6" s="90"/>
      <c r="AJ6" s="90"/>
      <c r="AK6" s="90"/>
    </row>
    <row r="7" spans="1:37">
      <c r="A7" s="2">
        <v>1</v>
      </c>
      <c r="B7" s="10">
        <f>IF(A7="","",IF($A$2="mensual",30,IF($A$2="quincenal",15,IF($A$2="catorcenal",14,IF($A$2="decenal",10,IF($A$2="semanal",7))))))</f>
        <v>15</v>
      </c>
      <c r="C7" s="18">
        <f>IF(A7="","",$D$2/360*B7)</f>
        <v>1.5416666666666667E-2</v>
      </c>
      <c r="D7" s="4">
        <f>IF($A7="","",$B$2)</f>
        <v>10000</v>
      </c>
      <c r="E7" s="4">
        <f>IF(A7="","",IF(S7&gt;R7,R7,IF(AND($L$368=0,D8&lt;=0),R7,S7)))</f>
        <v>0</v>
      </c>
      <c r="F7" s="4">
        <f>IF(A7="","",D7*C7)</f>
        <v>154.16666666666666</v>
      </c>
      <c r="G7" s="4">
        <f>IF(A7="","",F7*$F$2)</f>
        <v>24.666666666666664</v>
      </c>
      <c r="H7" s="4"/>
      <c r="I7" s="4"/>
      <c r="J7" s="4"/>
      <c r="K7" s="4"/>
      <c r="L7" s="4">
        <f>IF(A7="","",IF(ISERROR(VLOOKUP(A7,'pagos anticipados'!$A$2:$B$5,2,FALSE)),0,VLOOKUP(A7,'pagos anticipados'!$A$2:B5,2,FALSE)))</f>
        <v>0</v>
      </c>
      <c r="M7" s="4">
        <f t="shared" ref="M7:M70" si="0">IF(A7="","",AK8-AJ8)</f>
        <v>2588.0946647056153</v>
      </c>
      <c r="N7" s="1">
        <f t="shared" ref="N7:N70" si="1">IF(A7="",0,+Q7/(1+$O$5)^(A7/No_pagos_al_año))</f>
        <v>2543.6595506171261</v>
      </c>
      <c r="Q7" s="48">
        <f>IF(A7="","",PPMT(($D$2*(1+$F$2))/$J$4,A7,$K$4,-$B$2)+(+$B$2*$C$7*(1+$F$2)))-AJ8</f>
        <v>2588.0946647056153</v>
      </c>
      <c r="R7" s="45">
        <f>IF($A7="","",$B$2)</f>
        <v>10000</v>
      </c>
      <c r="S7" s="44">
        <f>IF(A7="","",IF($G$2="PLAZO Y PAGO",W7,IF($G$2="PAGO",AA7,IF($G$2="PLAZO",AC7,0))))</f>
        <v>0</v>
      </c>
      <c r="T7" s="5"/>
      <c r="U7" s="42">
        <f>IF(A7="","",+$B$2)</f>
        <v>10000</v>
      </c>
      <c r="V7" s="41">
        <f>IF(A7="","",+U7*Tasa_del_período_sin_iva*(1+I.V.A.))</f>
        <v>178.83333333333331</v>
      </c>
      <c r="W7" s="41">
        <f>IF(A7="","",IF(PAGO_FIJO&gt;R7,R7,PAGO_FIJO-V7))</f>
        <v>2409.2613313722818</v>
      </c>
      <c r="Y7" s="34">
        <f>IF(A7="","",$K$4)</f>
        <v>3.9999999999999982</v>
      </c>
      <c r="Z7" s="34">
        <f>IF(A7="","",PMT((Tasa_anual_sin_iva*(1+I.V.A.))/No_pagos_al_año,Y7,-R7)-(R7*(Tasa_anual_sin_iva*(1+I.V.A.))/No_pagos_al_año)+(R7*Tasa_del_período_sin_iva*(1+I.V.A.)))</f>
        <v>2612.7613313722818</v>
      </c>
      <c r="AA7" s="34">
        <f t="shared" ref="AA7:AA70" si="2">IF(A7="","",+Z7-F7-G7)</f>
        <v>2433.9279980389488</v>
      </c>
      <c r="AB7" s="5"/>
      <c r="AC7" s="36">
        <f>IF(A7="","",PAGO_FIJO-F7-G7)</f>
        <v>2409.2613313722823</v>
      </c>
      <c r="AD7" s="5"/>
      <c r="AE7" s="37">
        <f>IF(AND(A7&lt;=Total_pagos,D7&gt;0),1,0)</f>
        <v>1</v>
      </c>
      <c r="AF7" s="5"/>
      <c r="AG7" s="55"/>
      <c r="AH7" s="55"/>
      <c r="AI7" s="55"/>
      <c r="AJ7" s="55"/>
      <c r="AK7" s="55"/>
    </row>
    <row r="8" spans="1:37">
      <c r="A8" s="2">
        <f>IF(OR(A7&gt;=$K$4,A7=""),"",A7+1)</f>
        <v>2</v>
      </c>
      <c r="B8" s="10">
        <f t="shared" ref="B8:B71" si="3">IF(A8="","",IF($A$2="mensual",30,IF($A$2="quincenal",15,IF($A$2="catorcenal",14,IF($A$2="decenal",10,IF($A$2="semanal",7))))))</f>
        <v>15</v>
      </c>
      <c r="C8" s="18">
        <f t="shared" ref="C8:C71" si="4">IF(A8="","",$D$2/360*B8)</f>
        <v>1.5416666666666667E-2</v>
      </c>
      <c r="D8" s="4">
        <f>IF(A8="","",R8)</f>
        <v>10000</v>
      </c>
      <c r="E8" s="4">
        <f t="shared" ref="E8:E71" si="5">IF(A8="","",IF(S8&gt;R8,R8,IF(AND($L$368=0,D9&lt;=0),R8,S8)))</f>
        <v>0</v>
      </c>
      <c r="F8" s="4">
        <f t="shared" ref="F8:F71" si="6">IF(A8="","",D8*C8)</f>
        <v>154.16666666666666</v>
      </c>
      <c r="G8" s="4">
        <f t="shared" ref="G8:G71" si="7">IF(A8="","",F8*$F$2)</f>
        <v>24.666666666666664</v>
      </c>
      <c r="H8" s="4"/>
      <c r="I8" s="4"/>
      <c r="J8" s="4"/>
      <c r="K8" s="4"/>
      <c r="L8" s="4">
        <f>IF(A8="","",IF(ISERROR(VLOOKUP(A8,'pagos anticipados'!$A$2:$B$5,2,FALSE)),0,VLOOKUP(A8,'pagos anticipados'!$A$2:B6,2,FALSE)))</f>
        <v>0</v>
      </c>
      <c r="M8" s="4">
        <f t="shared" si="0"/>
        <v>2594.0983537674447</v>
      </c>
      <c r="N8" s="1">
        <f t="shared" si="1"/>
        <v>2505.7866485966888</v>
      </c>
      <c r="Q8" s="44">
        <f t="shared" ref="Q8:Q71" si="8">IF(A8="","",AK9-AJ9)</f>
        <v>2594.0983537674447</v>
      </c>
      <c r="R8" s="44">
        <f>IF(A8="","",IF((R7-S7-L7)&lt;=0,0,(+R7-S7-L7)))</f>
        <v>10000</v>
      </c>
      <c r="S8" s="44">
        <f t="shared" ref="S8:S71" si="9">IF(A8="","",IF($G$2="PLAZO Y PAGO",W8,IF($G$2="PAGO",AA8,IF($G$2="PLAZO",AC8,0))))</f>
        <v>0</v>
      </c>
      <c r="U8" s="42">
        <f>IF(A8="","",U7-(PAGO_FIJO-V7))</f>
        <v>7590.7386686277187</v>
      </c>
      <c r="V8" s="41">
        <f>IF(A8="","",+U8*Tasa_del_período_sin_iva*(1+I.V.A.))</f>
        <v>135.74770985729236</v>
      </c>
      <c r="W8" s="41">
        <f t="shared" ref="W8:W70" si="10">IF(A8="","",IF(PAGO_FIJO&gt;R8,R8,PAGO_FIJO-V8))</f>
        <v>2452.3469548483231</v>
      </c>
      <c r="Y8" s="35">
        <f t="shared" ref="Y8:Y71" si="11">IF(A8="","",Y7-1)</f>
        <v>2.9999999999999982</v>
      </c>
      <c r="Z8" s="34">
        <f>IF(A8="","",IF(L7=0,Z7,PMT((Tasa_anual_sin_iva*(1+I.V.A.))/No_pagos_al_año,Y8,-R8)-(R8*(Tasa_anual_sin_iva*(1+I.V.A.))/No_pagos_al_año)+(R8*Tasa_del_período_sin_iva*(1+I.V.A.))))</f>
        <v>2612.7613313722818</v>
      </c>
      <c r="AA8" s="34">
        <f t="shared" si="2"/>
        <v>2433.9279980389488</v>
      </c>
      <c r="AC8" s="36">
        <f t="shared" ref="AC8:AC71" si="12">IF(A8="","",PAGO_FIJO-F8-G8)</f>
        <v>2409.2613313722823</v>
      </c>
      <c r="AE8" s="37">
        <f t="shared" ref="AE8:AE71" si="13">IF(AND(A8&lt;=Total_pagos,D8&gt;0),1,0)</f>
        <v>1</v>
      </c>
      <c r="AG8" s="56">
        <f>IF(A7="","",+$B$2)</f>
        <v>10000</v>
      </c>
      <c r="AH8" s="57">
        <f t="shared" ref="AH8:AH71" si="14">IF(A7="","",+AG8*Tasa_del_período_sin_iva)</f>
        <v>154.16666666666666</v>
      </c>
      <c r="AI8" s="57">
        <f>IF(A7="","",AK8-AH8-AJ8)</f>
        <v>2433.9279980389488</v>
      </c>
      <c r="AJ8" s="57">
        <f t="shared" ref="AJ8:AJ71" si="15">IF(A7="","",AH8*I.V.A.)</f>
        <v>24.666666666666664</v>
      </c>
      <c r="AK8" s="57">
        <f>IF(A7="","",PPMT(($D$2*(1+$F$2))/$J$4,A7,$K$4,-$B$2)+(+$B$2*$C$7*(1+$F$2)))</f>
        <v>2612.7613313722818</v>
      </c>
    </row>
    <row r="9" spans="1:37">
      <c r="A9" s="2">
        <f t="shared" ref="A9:A72" si="16">IF(OR(A8&gt;=$K$4,A8=""),"",A8+1)</f>
        <v>3</v>
      </c>
      <c r="B9" s="10">
        <f t="shared" si="3"/>
        <v>15</v>
      </c>
      <c r="C9" s="18">
        <f t="shared" si="4"/>
        <v>1.5416666666666667E-2</v>
      </c>
      <c r="D9" s="4">
        <f t="shared" ref="D9:D72" si="17">IF(A9="","",R9)</f>
        <v>10000</v>
      </c>
      <c r="E9" s="4">
        <f t="shared" si="5"/>
        <v>0</v>
      </c>
      <c r="F9" s="4">
        <f t="shared" si="6"/>
        <v>154.16666666666666</v>
      </c>
      <c r="G9" s="4">
        <f t="shared" si="7"/>
        <v>24.666666666666664</v>
      </c>
      <c r="H9" s="4"/>
      <c r="I9" s="4"/>
      <c r="J9" s="4"/>
      <c r="K9" s="4"/>
      <c r="L9" s="4">
        <f>IF(A9="","",IF(ISERROR(VLOOKUP(A9,'pagos anticipados'!$A$2:$B$5,2,FALSE)),0,VLOOKUP(A9,'pagos anticipados'!$A$2:B7,2,FALSE)))</f>
        <v>0</v>
      </c>
      <c r="M9" s="4">
        <f t="shared" si="0"/>
        <v>2600.2094088019962</v>
      </c>
      <c r="N9" s="1">
        <f t="shared" si="1"/>
        <v>2468.5663498974895</v>
      </c>
      <c r="Q9" s="44">
        <f t="shared" si="8"/>
        <v>2600.2094088019962</v>
      </c>
      <c r="R9" s="44">
        <f t="shared" ref="R9:R72" si="18">IF(A9="","",IF((R8-S8-L8)&lt;=0,0,(+R8-S8-L8)))</f>
        <v>10000</v>
      </c>
      <c r="S9" s="44">
        <f t="shared" si="9"/>
        <v>0</v>
      </c>
      <c r="U9" s="42">
        <f t="shared" ref="U9:U72" si="19">IF(A9="","",U8-(PAGO_FIJO-V8))</f>
        <v>5138.391713779396</v>
      </c>
      <c r="V9" s="41">
        <f t="shared" ref="V9:V72" si="20">IF(A9="","",+U9*Tasa_del_período_sin_iva*(1+I.V.A.))</f>
        <v>91.891571814754869</v>
      </c>
      <c r="W9" s="41">
        <f t="shared" si="10"/>
        <v>2496.2030928908603</v>
      </c>
      <c r="Y9" s="35">
        <f t="shared" si="11"/>
        <v>1.9999999999999982</v>
      </c>
      <c r="Z9" s="34">
        <f t="shared" ref="Z9:Z72" si="21">IF(A9="","",IF(L8=0,Z8,PMT((Tasa_anual_sin_iva*(1+I.V.A.))/No_pagos_al_año,Y9,-R9)-(R9*(Tasa_anual_sin_iva*(1+I.V.A.))/No_pagos_al_año)+(R9*Tasa_del_período_sin_iva*(1+I.V.A.))))</f>
        <v>2612.7613313722818</v>
      </c>
      <c r="AA9" s="34">
        <f t="shared" si="2"/>
        <v>2433.9279980389488</v>
      </c>
      <c r="AC9" s="36">
        <f t="shared" si="12"/>
        <v>2409.2613313722823</v>
      </c>
      <c r="AE9" s="37">
        <f t="shared" si="13"/>
        <v>1</v>
      </c>
      <c r="AG9" s="56">
        <f t="shared" ref="AG9:AG72" si="22">IF(A8="","",AG8-AI8)</f>
        <v>7566.0720019610508</v>
      </c>
      <c r="AH9" s="57">
        <f t="shared" si="14"/>
        <v>116.64361003023286</v>
      </c>
      <c r="AI9" s="57">
        <f t="shared" ref="AI9:AI72" si="23">IF(A8="","",IF($AK$8-AH9-AJ9&gt;AG9,AG9,$AK$8-AH9-AJ9))</f>
        <v>2477.4547437372116</v>
      </c>
      <c r="AJ9" s="57">
        <f t="shared" si="15"/>
        <v>18.662977604837259</v>
      </c>
      <c r="AK9" s="57">
        <f t="shared" ref="AK9:AK72" si="24">IF(A8="","",+AH9+AI9+AJ9)</f>
        <v>2612.7613313722818</v>
      </c>
    </row>
    <row r="10" spans="1:37">
      <c r="A10" s="2">
        <f t="shared" si="16"/>
        <v>4</v>
      </c>
      <c r="B10" s="10">
        <f t="shared" si="3"/>
        <v>15</v>
      </c>
      <c r="C10" s="18">
        <f t="shared" si="4"/>
        <v>1.5416666666666667E-2</v>
      </c>
      <c r="D10" s="4">
        <f t="shared" si="17"/>
        <v>10000</v>
      </c>
      <c r="E10" s="4">
        <f t="shared" si="5"/>
        <v>0</v>
      </c>
      <c r="F10" s="4">
        <f t="shared" si="6"/>
        <v>154.16666666666666</v>
      </c>
      <c r="G10" s="4">
        <f t="shared" si="7"/>
        <v>24.666666666666664</v>
      </c>
      <c r="H10" s="4"/>
      <c r="I10" s="4"/>
      <c r="J10" s="4"/>
      <c r="K10" s="4"/>
      <c r="L10" s="4">
        <f>IF(A10="","",IF(ISERROR(VLOOKUP(A10,'pagos anticipados'!$A$2:$B$5,2,FALSE)),0,VLOOKUP(A10,'pagos anticipados'!$A$2:B8,2,FALSE)))</f>
        <v>0</v>
      </c>
      <c r="M10" s="4">
        <f t="shared" si="0"/>
        <v>2606.4297498707051</v>
      </c>
      <c r="N10" s="1">
        <f t="shared" si="1"/>
        <v>2431.9874509054384</v>
      </c>
      <c r="Q10" s="44">
        <f t="shared" si="8"/>
        <v>2606.4297498707051</v>
      </c>
      <c r="R10" s="44">
        <f t="shared" si="18"/>
        <v>10000</v>
      </c>
      <c r="S10" s="44">
        <f t="shared" si="9"/>
        <v>0</v>
      </c>
      <c r="U10" s="42">
        <f t="shared" si="19"/>
        <v>2642.1886208885358</v>
      </c>
      <c r="V10" s="41">
        <f t="shared" si="20"/>
        <v>47.251139836889976</v>
      </c>
      <c r="W10" s="41">
        <f t="shared" si="10"/>
        <v>2540.8435248687251</v>
      </c>
      <c r="Y10" s="35">
        <f t="shared" si="11"/>
        <v>0.99999999999999822</v>
      </c>
      <c r="Z10" s="34">
        <f t="shared" si="21"/>
        <v>2612.7613313722818</v>
      </c>
      <c r="AA10" s="34">
        <f t="shared" si="2"/>
        <v>2433.9279980389488</v>
      </c>
      <c r="AC10" s="36">
        <f t="shared" si="12"/>
        <v>2409.2613313722823</v>
      </c>
      <c r="AE10" s="37">
        <f t="shared" si="13"/>
        <v>1</v>
      </c>
      <c r="AG10" s="56">
        <f t="shared" si="22"/>
        <v>5088.6172582238396</v>
      </c>
      <c r="AH10" s="57">
        <f t="shared" si="14"/>
        <v>78.449516064284197</v>
      </c>
      <c r="AI10" s="57">
        <f t="shared" si="23"/>
        <v>2521.7598927377121</v>
      </c>
      <c r="AJ10" s="57">
        <f t="shared" si="15"/>
        <v>12.551922570285472</v>
      </c>
      <c r="AK10" s="57">
        <f t="shared" si="24"/>
        <v>2612.7613313722818</v>
      </c>
    </row>
    <row r="11" spans="1:37">
      <c r="A11" s="2" t="str">
        <f t="shared" si="16"/>
        <v/>
      </c>
      <c r="B11" s="10" t="str">
        <f t="shared" si="3"/>
        <v/>
      </c>
      <c r="C11" s="18" t="str">
        <f t="shared" si="4"/>
        <v/>
      </c>
      <c r="D11" s="4" t="str">
        <f t="shared" si="17"/>
        <v/>
      </c>
      <c r="E11" s="4" t="str">
        <f t="shared" si="5"/>
        <v/>
      </c>
      <c r="F11" s="4" t="str">
        <f t="shared" si="6"/>
        <v/>
      </c>
      <c r="G11" s="4" t="str">
        <f t="shared" si="7"/>
        <v/>
      </c>
      <c r="H11" s="4"/>
      <c r="I11" s="4"/>
      <c r="J11" s="4"/>
      <c r="K11" s="4"/>
      <c r="L11" s="4" t="str">
        <f>IF(A11="","",IF(ISERROR(VLOOKUP(A11,'pagos anticipados'!$A$2:$B$5,2,FALSE)),0,VLOOKUP(A11,'pagos anticipados'!$A$2:B9,2,FALSE)))</f>
        <v/>
      </c>
      <c r="M11" s="4" t="str">
        <f t="shared" si="0"/>
        <v/>
      </c>
      <c r="N11" s="1">
        <f t="shared" si="1"/>
        <v>0</v>
      </c>
      <c r="Q11" s="44" t="str">
        <f t="shared" si="8"/>
        <v/>
      </c>
      <c r="R11" s="44" t="str">
        <f t="shared" si="18"/>
        <v/>
      </c>
      <c r="S11" s="44" t="str">
        <f t="shared" si="9"/>
        <v/>
      </c>
      <c r="U11" s="42" t="str">
        <f t="shared" si="19"/>
        <v/>
      </c>
      <c r="V11" s="41" t="str">
        <f t="shared" si="20"/>
        <v/>
      </c>
      <c r="W11" s="41" t="str">
        <f t="shared" si="10"/>
        <v/>
      </c>
      <c r="Y11" s="35" t="str">
        <f t="shared" si="11"/>
        <v/>
      </c>
      <c r="Z11" s="34" t="str">
        <f t="shared" si="21"/>
        <v/>
      </c>
      <c r="AA11" s="34" t="str">
        <f t="shared" si="2"/>
        <v/>
      </c>
      <c r="AC11" s="36" t="str">
        <f t="shared" si="12"/>
        <v/>
      </c>
      <c r="AE11" s="37">
        <f t="shared" si="13"/>
        <v>0</v>
      </c>
      <c r="AG11" s="56">
        <f t="shared" si="22"/>
        <v>2566.8573654861275</v>
      </c>
      <c r="AH11" s="57">
        <f t="shared" si="14"/>
        <v>39.572384384577802</v>
      </c>
      <c r="AI11" s="57">
        <f t="shared" si="23"/>
        <v>2566.8573654861275</v>
      </c>
      <c r="AJ11" s="57">
        <f t="shared" si="15"/>
        <v>6.3315815015324484</v>
      </c>
      <c r="AK11" s="57">
        <f t="shared" si="24"/>
        <v>2612.7613313722377</v>
      </c>
    </row>
    <row r="12" spans="1:37">
      <c r="A12" s="2" t="str">
        <f t="shared" si="16"/>
        <v/>
      </c>
      <c r="B12" s="10" t="str">
        <f t="shared" si="3"/>
        <v/>
      </c>
      <c r="C12" s="18" t="str">
        <f t="shared" si="4"/>
        <v/>
      </c>
      <c r="D12" s="4" t="str">
        <f t="shared" si="17"/>
        <v/>
      </c>
      <c r="E12" s="4" t="str">
        <f t="shared" si="5"/>
        <v/>
      </c>
      <c r="F12" s="4" t="str">
        <f t="shared" si="6"/>
        <v/>
      </c>
      <c r="G12" s="4" t="str">
        <f t="shared" si="7"/>
        <v/>
      </c>
      <c r="H12" s="4"/>
      <c r="I12" s="4"/>
      <c r="J12" s="4"/>
      <c r="K12" s="4"/>
      <c r="L12" s="4" t="str">
        <f>IF(A12="","",IF(ISERROR(VLOOKUP(A12,'pagos anticipados'!$A$2:$B$5,2,FALSE)),0,VLOOKUP(A12,'pagos anticipados'!$A$2:B10,2,FALSE)))</f>
        <v/>
      </c>
      <c r="M12" s="4" t="str">
        <f t="shared" si="0"/>
        <v/>
      </c>
      <c r="N12" s="1">
        <f t="shared" si="1"/>
        <v>0</v>
      </c>
      <c r="Q12" s="44" t="str">
        <f t="shared" si="8"/>
        <v/>
      </c>
      <c r="R12" s="44" t="str">
        <f t="shared" si="18"/>
        <v/>
      </c>
      <c r="S12" s="44" t="str">
        <f t="shared" si="9"/>
        <v/>
      </c>
      <c r="U12" s="42" t="str">
        <f t="shared" si="19"/>
        <v/>
      </c>
      <c r="V12" s="41" t="str">
        <f t="shared" si="20"/>
        <v/>
      </c>
      <c r="W12" s="41" t="str">
        <f t="shared" si="10"/>
        <v/>
      </c>
      <c r="Y12" s="35" t="str">
        <f t="shared" si="11"/>
        <v/>
      </c>
      <c r="Z12" s="34" t="str">
        <f t="shared" si="21"/>
        <v/>
      </c>
      <c r="AA12" s="34" t="str">
        <f t="shared" si="2"/>
        <v/>
      </c>
      <c r="AC12" s="36" t="str">
        <f t="shared" si="12"/>
        <v/>
      </c>
      <c r="AE12" s="37">
        <f t="shared" si="13"/>
        <v>0</v>
      </c>
      <c r="AG12" s="56" t="str">
        <f t="shared" si="22"/>
        <v/>
      </c>
      <c r="AH12" s="57" t="str">
        <f t="shared" si="14"/>
        <v/>
      </c>
      <c r="AI12" s="57" t="str">
        <f t="shared" si="23"/>
        <v/>
      </c>
      <c r="AJ12" s="57" t="str">
        <f t="shared" si="15"/>
        <v/>
      </c>
      <c r="AK12" s="57" t="str">
        <f t="shared" si="24"/>
        <v/>
      </c>
    </row>
    <row r="13" spans="1:37">
      <c r="A13" s="2" t="str">
        <f t="shared" si="16"/>
        <v/>
      </c>
      <c r="B13" s="10" t="str">
        <f t="shared" si="3"/>
        <v/>
      </c>
      <c r="C13" s="18" t="str">
        <f t="shared" si="4"/>
        <v/>
      </c>
      <c r="D13" s="4" t="str">
        <f t="shared" si="17"/>
        <v/>
      </c>
      <c r="E13" s="4" t="str">
        <f t="shared" si="5"/>
        <v/>
      </c>
      <c r="F13" s="4" t="str">
        <f t="shared" si="6"/>
        <v/>
      </c>
      <c r="G13" s="4" t="str">
        <f t="shared" si="7"/>
        <v/>
      </c>
      <c r="H13" s="4"/>
      <c r="I13" s="4"/>
      <c r="J13" s="4"/>
      <c r="K13" s="4"/>
      <c r="L13" s="4" t="str">
        <f>IF(A13="","",IF(ISERROR(VLOOKUP(A13,'pagos anticipados'!$A$2:$B$5,2,FALSE)),0,VLOOKUP(A13,'pagos anticipados'!$A$2:B11,2,FALSE)))</f>
        <v/>
      </c>
      <c r="M13" s="4" t="str">
        <f t="shared" si="0"/>
        <v/>
      </c>
      <c r="N13" s="1">
        <f t="shared" si="1"/>
        <v>0</v>
      </c>
      <c r="Q13" s="44" t="str">
        <f t="shared" si="8"/>
        <v/>
      </c>
      <c r="R13" s="44" t="str">
        <f t="shared" si="18"/>
        <v/>
      </c>
      <c r="S13" s="44" t="str">
        <f t="shared" si="9"/>
        <v/>
      </c>
      <c r="U13" s="42" t="str">
        <f t="shared" si="19"/>
        <v/>
      </c>
      <c r="V13" s="41" t="str">
        <f t="shared" si="20"/>
        <v/>
      </c>
      <c r="W13" s="41" t="str">
        <f t="shared" si="10"/>
        <v/>
      </c>
      <c r="Y13" s="35" t="str">
        <f t="shared" si="11"/>
        <v/>
      </c>
      <c r="Z13" s="34" t="str">
        <f t="shared" si="21"/>
        <v/>
      </c>
      <c r="AA13" s="34" t="str">
        <f t="shared" si="2"/>
        <v/>
      </c>
      <c r="AC13" s="36" t="str">
        <f t="shared" si="12"/>
        <v/>
      </c>
      <c r="AE13" s="37">
        <f t="shared" si="13"/>
        <v>0</v>
      </c>
      <c r="AG13" s="56" t="str">
        <f t="shared" si="22"/>
        <v/>
      </c>
      <c r="AH13" s="57" t="str">
        <f t="shared" si="14"/>
        <v/>
      </c>
      <c r="AI13" s="57" t="str">
        <f t="shared" si="23"/>
        <v/>
      </c>
      <c r="AJ13" s="57" t="str">
        <f t="shared" si="15"/>
        <v/>
      </c>
      <c r="AK13" s="57" t="str">
        <f t="shared" si="24"/>
        <v/>
      </c>
    </row>
    <row r="14" spans="1:37">
      <c r="A14" s="2" t="str">
        <f t="shared" si="16"/>
        <v/>
      </c>
      <c r="B14" s="10" t="str">
        <f t="shared" si="3"/>
        <v/>
      </c>
      <c r="C14" s="18" t="str">
        <f t="shared" si="4"/>
        <v/>
      </c>
      <c r="D14" s="4" t="str">
        <f t="shared" si="17"/>
        <v/>
      </c>
      <c r="E14" s="4" t="str">
        <f t="shared" si="5"/>
        <v/>
      </c>
      <c r="F14" s="4" t="str">
        <f t="shared" si="6"/>
        <v/>
      </c>
      <c r="G14" s="4" t="str">
        <f t="shared" si="7"/>
        <v/>
      </c>
      <c r="H14" s="4"/>
      <c r="I14" s="4"/>
      <c r="J14" s="4"/>
      <c r="K14" s="4"/>
      <c r="L14" s="4" t="str">
        <f>IF(A14="","",IF(ISERROR(VLOOKUP(A14,'pagos anticipados'!$A$2:$B$5,2,FALSE)),0,VLOOKUP(A14,'pagos anticipados'!$A$2:B12,2,FALSE)))</f>
        <v/>
      </c>
      <c r="M14" s="4" t="str">
        <f t="shared" si="0"/>
        <v/>
      </c>
      <c r="N14" s="1">
        <f t="shared" si="1"/>
        <v>0</v>
      </c>
      <c r="Q14" s="44" t="str">
        <f t="shared" si="8"/>
        <v/>
      </c>
      <c r="R14" s="44" t="str">
        <f t="shared" si="18"/>
        <v/>
      </c>
      <c r="S14" s="44" t="str">
        <f t="shared" si="9"/>
        <v/>
      </c>
      <c r="U14" s="42" t="str">
        <f t="shared" si="19"/>
        <v/>
      </c>
      <c r="V14" s="41" t="str">
        <f t="shared" si="20"/>
        <v/>
      </c>
      <c r="W14" s="41" t="str">
        <f t="shared" si="10"/>
        <v/>
      </c>
      <c r="Y14" s="35" t="str">
        <f t="shared" si="11"/>
        <v/>
      </c>
      <c r="Z14" s="34" t="str">
        <f t="shared" si="21"/>
        <v/>
      </c>
      <c r="AA14" s="34" t="str">
        <f t="shared" si="2"/>
        <v/>
      </c>
      <c r="AC14" s="36" t="str">
        <f t="shared" si="12"/>
        <v/>
      </c>
      <c r="AE14" s="37">
        <f t="shared" si="13"/>
        <v>0</v>
      </c>
      <c r="AG14" s="56" t="str">
        <f t="shared" si="22"/>
        <v/>
      </c>
      <c r="AH14" s="57" t="str">
        <f t="shared" si="14"/>
        <v/>
      </c>
      <c r="AI14" s="57" t="str">
        <f t="shared" si="23"/>
        <v/>
      </c>
      <c r="AJ14" s="57" t="str">
        <f t="shared" si="15"/>
        <v/>
      </c>
      <c r="AK14" s="57" t="str">
        <f t="shared" si="24"/>
        <v/>
      </c>
    </row>
    <row r="15" spans="1:37">
      <c r="A15" s="2" t="str">
        <f t="shared" si="16"/>
        <v/>
      </c>
      <c r="B15" s="10" t="str">
        <f t="shared" si="3"/>
        <v/>
      </c>
      <c r="C15" s="18" t="str">
        <f t="shared" si="4"/>
        <v/>
      </c>
      <c r="D15" s="4" t="str">
        <f t="shared" si="17"/>
        <v/>
      </c>
      <c r="E15" s="4" t="str">
        <f t="shared" si="5"/>
        <v/>
      </c>
      <c r="F15" s="4" t="str">
        <f t="shared" si="6"/>
        <v/>
      </c>
      <c r="G15" s="4" t="str">
        <f t="shared" si="7"/>
        <v/>
      </c>
      <c r="H15" s="4"/>
      <c r="I15" s="4"/>
      <c r="J15" s="4"/>
      <c r="K15" s="4"/>
      <c r="L15" s="4" t="str">
        <f>IF(A15="","",IF(ISERROR(VLOOKUP(A15,'pagos anticipados'!$A$2:$B$5,2,FALSE)),0,VLOOKUP(A15,'pagos anticipados'!$A$2:B13,2,FALSE)))</f>
        <v/>
      </c>
      <c r="M15" s="4" t="str">
        <f t="shared" si="0"/>
        <v/>
      </c>
      <c r="N15" s="1">
        <f t="shared" si="1"/>
        <v>0</v>
      </c>
      <c r="Q15" s="44" t="str">
        <f t="shared" si="8"/>
        <v/>
      </c>
      <c r="R15" s="44" t="str">
        <f t="shared" si="18"/>
        <v/>
      </c>
      <c r="S15" s="44" t="str">
        <f t="shared" si="9"/>
        <v/>
      </c>
      <c r="U15" s="42" t="str">
        <f t="shared" si="19"/>
        <v/>
      </c>
      <c r="V15" s="41" t="str">
        <f t="shared" si="20"/>
        <v/>
      </c>
      <c r="W15" s="41" t="str">
        <f t="shared" si="10"/>
        <v/>
      </c>
      <c r="Y15" s="35" t="str">
        <f t="shared" si="11"/>
        <v/>
      </c>
      <c r="Z15" s="34" t="str">
        <f t="shared" si="21"/>
        <v/>
      </c>
      <c r="AA15" s="34" t="str">
        <f t="shared" si="2"/>
        <v/>
      </c>
      <c r="AC15" s="36" t="str">
        <f t="shared" si="12"/>
        <v/>
      </c>
      <c r="AE15" s="37">
        <f t="shared" si="13"/>
        <v>0</v>
      </c>
      <c r="AG15" s="56" t="str">
        <f t="shared" si="22"/>
        <v/>
      </c>
      <c r="AH15" s="57" t="str">
        <f t="shared" si="14"/>
        <v/>
      </c>
      <c r="AI15" s="57" t="str">
        <f t="shared" si="23"/>
        <v/>
      </c>
      <c r="AJ15" s="57" t="str">
        <f t="shared" si="15"/>
        <v/>
      </c>
      <c r="AK15" s="57" t="str">
        <f t="shared" si="24"/>
        <v/>
      </c>
    </row>
    <row r="16" spans="1:37">
      <c r="A16" s="2" t="str">
        <f t="shared" si="16"/>
        <v/>
      </c>
      <c r="B16" s="10" t="str">
        <f t="shared" si="3"/>
        <v/>
      </c>
      <c r="C16" s="18" t="str">
        <f t="shared" si="4"/>
        <v/>
      </c>
      <c r="D16" s="4" t="str">
        <f t="shared" si="17"/>
        <v/>
      </c>
      <c r="E16" s="4" t="str">
        <f t="shared" si="5"/>
        <v/>
      </c>
      <c r="F16" s="4" t="str">
        <f t="shared" si="6"/>
        <v/>
      </c>
      <c r="G16" s="4" t="str">
        <f t="shared" si="7"/>
        <v/>
      </c>
      <c r="H16" s="4"/>
      <c r="I16" s="4"/>
      <c r="J16" s="4"/>
      <c r="K16" s="4"/>
      <c r="L16" s="4" t="str">
        <f>IF(A16="","",IF(ISERROR(VLOOKUP(A16,'pagos anticipados'!$A$2:$B$5,2,FALSE)),0,VLOOKUP(A16,'pagos anticipados'!$A$2:B14,2,FALSE)))</f>
        <v/>
      </c>
      <c r="M16" s="4" t="str">
        <f t="shared" si="0"/>
        <v/>
      </c>
      <c r="N16" s="1">
        <f t="shared" si="1"/>
        <v>0</v>
      </c>
      <c r="Q16" s="44" t="str">
        <f t="shared" si="8"/>
        <v/>
      </c>
      <c r="R16" s="44" t="str">
        <f t="shared" si="18"/>
        <v/>
      </c>
      <c r="S16" s="44" t="str">
        <f t="shared" si="9"/>
        <v/>
      </c>
      <c r="U16" s="42" t="str">
        <f t="shared" si="19"/>
        <v/>
      </c>
      <c r="V16" s="41" t="str">
        <f t="shared" si="20"/>
        <v/>
      </c>
      <c r="W16" s="41" t="str">
        <f t="shared" si="10"/>
        <v/>
      </c>
      <c r="Y16" s="35" t="str">
        <f t="shared" si="11"/>
        <v/>
      </c>
      <c r="Z16" s="34" t="str">
        <f t="shared" si="21"/>
        <v/>
      </c>
      <c r="AA16" s="34" t="str">
        <f t="shared" si="2"/>
        <v/>
      </c>
      <c r="AC16" s="36" t="str">
        <f t="shared" si="12"/>
        <v/>
      </c>
      <c r="AE16" s="37">
        <f t="shared" si="13"/>
        <v>0</v>
      </c>
      <c r="AG16" s="56" t="str">
        <f t="shared" si="22"/>
        <v/>
      </c>
      <c r="AH16" s="57" t="str">
        <f t="shared" si="14"/>
        <v/>
      </c>
      <c r="AI16" s="57" t="str">
        <f t="shared" si="23"/>
        <v/>
      </c>
      <c r="AJ16" s="57" t="str">
        <f t="shared" si="15"/>
        <v/>
      </c>
      <c r="AK16" s="57" t="str">
        <f t="shared" si="24"/>
        <v/>
      </c>
    </row>
    <row r="17" spans="1:37">
      <c r="A17" s="2" t="str">
        <f t="shared" si="16"/>
        <v/>
      </c>
      <c r="B17" s="10" t="str">
        <f t="shared" si="3"/>
        <v/>
      </c>
      <c r="C17" s="18" t="str">
        <f t="shared" si="4"/>
        <v/>
      </c>
      <c r="D17" s="4" t="str">
        <f t="shared" si="17"/>
        <v/>
      </c>
      <c r="E17" s="4" t="str">
        <f t="shared" si="5"/>
        <v/>
      </c>
      <c r="F17" s="4" t="str">
        <f t="shared" si="6"/>
        <v/>
      </c>
      <c r="G17" s="4" t="str">
        <f t="shared" si="7"/>
        <v/>
      </c>
      <c r="H17" s="4"/>
      <c r="I17" s="4"/>
      <c r="J17" s="4"/>
      <c r="K17" s="4"/>
      <c r="L17" s="4" t="str">
        <f>IF(A17="","",IF(ISERROR(VLOOKUP(A17,'pagos anticipados'!$A$2:$B$5,2,FALSE)),0,VLOOKUP(A17,'pagos anticipados'!$A$2:B15,2,FALSE)))</f>
        <v/>
      </c>
      <c r="M17" s="4" t="str">
        <f t="shared" si="0"/>
        <v/>
      </c>
      <c r="N17" s="1">
        <f t="shared" si="1"/>
        <v>0</v>
      </c>
      <c r="Q17" s="44" t="str">
        <f t="shared" si="8"/>
        <v/>
      </c>
      <c r="R17" s="44" t="str">
        <f t="shared" si="18"/>
        <v/>
      </c>
      <c r="S17" s="44" t="str">
        <f t="shared" si="9"/>
        <v/>
      </c>
      <c r="U17" s="42" t="str">
        <f t="shared" si="19"/>
        <v/>
      </c>
      <c r="V17" s="41" t="str">
        <f t="shared" si="20"/>
        <v/>
      </c>
      <c r="W17" s="41" t="str">
        <f t="shared" si="10"/>
        <v/>
      </c>
      <c r="Y17" s="35" t="str">
        <f t="shared" si="11"/>
        <v/>
      </c>
      <c r="Z17" s="34" t="str">
        <f t="shared" si="21"/>
        <v/>
      </c>
      <c r="AA17" s="34" t="str">
        <f t="shared" si="2"/>
        <v/>
      </c>
      <c r="AC17" s="36" t="str">
        <f t="shared" si="12"/>
        <v/>
      </c>
      <c r="AE17" s="37">
        <f t="shared" si="13"/>
        <v>0</v>
      </c>
      <c r="AG17" s="56" t="str">
        <f t="shared" si="22"/>
        <v/>
      </c>
      <c r="AH17" s="57" t="str">
        <f t="shared" si="14"/>
        <v/>
      </c>
      <c r="AI17" s="57" t="str">
        <f t="shared" si="23"/>
        <v/>
      </c>
      <c r="AJ17" s="57" t="str">
        <f t="shared" si="15"/>
        <v/>
      </c>
      <c r="AK17" s="57" t="str">
        <f t="shared" si="24"/>
        <v/>
      </c>
    </row>
    <row r="18" spans="1:37">
      <c r="A18" s="2" t="str">
        <f t="shared" si="16"/>
        <v/>
      </c>
      <c r="B18" s="10" t="str">
        <f t="shared" si="3"/>
        <v/>
      </c>
      <c r="C18" s="18" t="str">
        <f t="shared" si="4"/>
        <v/>
      </c>
      <c r="D18" s="4" t="str">
        <f t="shared" si="17"/>
        <v/>
      </c>
      <c r="E18" s="4" t="str">
        <f t="shared" si="5"/>
        <v/>
      </c>
      <c r="F18" s="4" t="str">
        <f t="shared" si="6"/>
        <v/>
      </c>
      <c r="G18" s="4" t="str">
        <f t="shared" si="7"/>
        <v/>
      </c>
      <c r="H18" s="4"/>
      <c r="I18" s="4"/>
      <c r="J18" s="4"/>
      <c r="K18" s="4"/>
      <c r="L18" s="4" t="str">
        <f>IF(A18="","",IF(ISERROR(VLOOKUP(A18,'pagos anticipados'!$A$2:$B$5,2,FALSE)),0,VLOOKUP(A18,'pagos anticipados'!$A$2:B16,2,FALSE)))</f>
        <v/>
      </c>
      <c r="M18" s="4" t="str">
        <f t="shared" si="0"/>
        <v/>
      </c>
      <c r="N18" s="1">
        <f t="shared" si="1"/>
        <v>0</v>
      </c>
      <c r="Q18" s="44" t="str">
        <f t="shared" si="8"/>
        <v/>
      </c>
      <c r="R18" s="44" t="str">
        <f t="shared" si="18"/>
        <v/>
      </c>
      <c r="S18" s="44" t="str">
        <f t="shared" si="9"/>
        <v/>
      </c>
      <c r="U18" s="42" t="str">
        <f t="shared" si="19"/>
        <v/>
      </c>
      <c r="V18" s="41" t="str">
        <f t="shared" si="20"/>
        <v/>
      </c>
      <c r="W18" s="41" t="str">
        <f t="shared" si="10"/>
        <v/>
      </c>
      <c r="Y18" s="35" t="str">
        <f t="shared" si="11"/>
        <v/>
      </c>
      <c r="Z18" s="34" t="str">
        <f t="shared" si="21"/>
        <v/>
      </c>
      <c r="AA18" s="34" t="str">
        <f t="shared" si="2"/>
        <v/>
      </c>
      <c r="AC18" s="36" t="str">
        <f t="shared" si="12"/>
        <v/>
      </c>
      <c r="AE18" s="37">
        <f t="shared" si="13"/>
        <v>0</v>
      </c>
      <c r="AG18" s="56" t="str">
        <f t="shared" si="22"/>
        <v/>
      </c>
      <c r="AH18" s="57" t="str">
        <f t="shared" si="14"/>
        <v/>
      </c>
      <c r="AI18" s="57" t="str">
        <f t="shared" si="23"/>
        <v/>
      </c>
      <c r="AJ18" s="57" t="str">
        <f t="shared" si="15"/>
        <v/>
      </c>
      <c r="AK18" s="57" t="str">
        <f t="shared" si="24"/>
        <v/>
      </c>
    </row>
    <row r="19" spans="1:37">
      <c r="A19" s="2" t="str">
        <f t="shared" si="16"/>
        <v/>
      </c>
      <c r="B19" s="10" t="str">
        <f t="shared" si="3"/>
        <v/>
      </c>
      <c r="C19" s="18" t="str">
        <f t="shared" si="4"/>
        <v/>
      </c>
      <c r="D19" s="4" t="str">
        <f t="shared" si="17"/>
        <v/>
      </c>
      <c r="E19" s="4" t="str">
        <f t="shared" si="5"/>
        <v/>
      </c>
      <c r="F19" s="4" t="str">
        <f t="shared" si="6"/>
        <v/>
      </c>
      <c r="G19" s="4" t="str">
        <f t="shared" si="7"/>
        <v/>
      </c>
      <c r="H19" s="4"/>
      <c r="I19" s="4"/>
      <c r="J19" s="4"/>
      <c r="K19" s="4"/>
      <c r="L19" s="4" t="str">
        <f>IF(A19="","",IF(ISERROR(VLOOKUP(A19,'pagos anticipados'!$A$2:$B$5,2,FALSE)),0,VLOOKUP(A19,'pagos anticipados'!$A$2:B17,2,FALSE)))</f>
        <v/>
      </c>
      <c r="M19" s="4" t="str">
        <f t="shared" si="0"/>
        <v/>
      </c>
      <c r="N19" s="1">
        <f t="shared" si="1"/>
        <v>0</v>
      </c>
      <c r="Q19" s="44" t="str">
        <f t="shared" si="8"/>
        <v/>
      </c>
      <c r="R19" s="44" t="str">
        <f t="shared" si="18"/>
        <v/>
      </c>
      <c r="S19" s="44" t="str">
        <f t="shared" si="9"/>
        <v/>
      </c>
      <c r="U19" s="42" t="str">
        <f t="shared" si="19"/>
        <v/>
      </c>
      <c r="V19" s="41" t="str">
        <f t="shared" si="20"/>
        <v/>
      </c>
      <c r="W19" s="41" t="str">
        <f t="shared" si="10"/>
        <v/>
      </c>
      <c r="Y19" s="35" t="str">
        <f t="shared" si="11"/>
        <v/>
      </c>
      <c r="Z19" s="34" t="str">
        <f t="shared" si="21"/>
        <v/>
      </c>
      <c r="AA19" s="34" t="str">
        <f t="shared" si="2"/>
        <v/>
      </c>
      <c r="AC19" s="36" t="str">
        <f t="shared" si="12"/>
        <v/>
      </c>
      <c r="AE19" s="37">
        <f t="shared" si="13"/>
        <v>0</v>
      </c>
      <c r="AG19" s="56" t="str">
        <f t="shared" si="22"/>
        <v/>
      </c>
      <c r="AH19" s="57" t="str">
        <f t="shared" si="14"/>
        <v/>
      </c>
      <c r="AI19" s="57" t="str">
        <f t="shared" si="23"/>
        <v/>
      </c>
      <c r="AJ19" s="57" t="str">
        <f t="shared" si="15"/>
        <v/>
      </c>
      <c r="AK19" s="57" t="str">
        <f t="shared" si="24"/>
        <v/>
      </c>
    </row>
    <row r="20" spans="1:37">
      <c r="A20" s="2" t="str">
        <f t="shared" si="16"/>
        <v/>
      </c>
      <c r="B20" s="10" t="str">
        <f t="shared" si="3"/>
        <v/>
      </c>
      <c r="C20" s="18" t="str">
        <f t="shared" si="4"/>
        <v/>
      </c>
      <c r="D20" s="4" t="str">
        <f t="shared" si="17"/>
        <v/>
      </c>
      <c r="E20" s="4" t="str">
        <f t="shared" si="5"/>
        <v/>
      </c>
      <c r="F20" s="4" t="str">
        <f t="shared" si="6"/>
        <v/>
      </c>
      <c r="G20" s="4" t="str">
        <f t="shared" si="7"/>
        <v/>
      </c>
      <c r="H20" s="4"/>
      <c r="I20" s="4"/>
      <c r="J20" s="4"/>
      <c r="K20" s="4"/>
      <c r="L20" s="4" t="str">
        <f>IF(A20="","",IF(ISERROR(VLOOKUP(A20,'pagos anticipados'!$A$2:$B$5,2,FALSE)),0,VLOOKUP(A20,'pagos anticipados'!$A$2:B18,2,FALSE)))</f>
        <v/>
      </c>
      <c r="M20" s="4" t="str">
        <f t="shared" si="0"/>
        <v/>
      </c>
      <c r="N20" s="1">
        <f t="shared" si="1"/>
        <v>0</v>
      </c>
      <c r="Q20" s="44" t="str">
        <f t="shared" si="8"/>
        <v/>
      </c>
      <c r="R20" s="44" t="str">
        <f t="shared" si="18"/>
        <v/>
      </c>
      <c r="S20" s="44" t="str">
        <f t="shared" si="9"/>
        <v/>
      </c>
      <c r="U20" s="42" t="str">
        <f t="shared" si="19"/>
        <v/>
      </c>
      <c r="V20" s="41" t="str">
        <f t="shared" si="20"/>
        <v/>
      </c>
      <c r="W20" s="41" t="str">
        <f t="shared" si="10"/>
        <v/>
      </c>
      <c r="Y20" s="35" t="str">
        <f t="shared" si="11"/>
        <v/>
      </c>
      <c r="Z20" s="34" t="str">
        <f t="shared" si="21"/>
        <v/>
      </c>
      <c r="AA20" s="34" t="str">
        <f t="shared" si="2"/>
        <v/>
      </c>
      <c r="AC20" s="36" t="str">
        <f t="shared" si="12"/>
        <v/>
      </c>
      <c r="AE20" s="37">
        <f t="shared" si="13"/>
        <v>0</v>
      </c>
      <c r="AG20" s="56" t="str">
        <f t="shared" si="22"/>
        <v/>
      </c>
      <c r="AH20" s="57" t="str">
        <f t="shared" si="14"/>
        <v/>
      </c>
      <c r="AI20" s="57" t="str">
        <f t="shared" si="23"/>
        <v/>
      </c>
      <c r="AJ20" s="57" t="str">
        <f t="shared" si="15"/>
        <v/>
      </c>
      <c r="AK20" s="57" t="str">
        <f t="shared" si="24"/>
        <v/>
      </c>
    </row>
    <row r="21" spans="1:37">
      <c r="A21" s="2" t="str">
        <f t="shared" si="16"/>
        <v/>
      </c>
      <c r="B21" s="10" t="str">
        <f t="shared" si="3"/>
        <v/>
      </c>
      <c r="C21" s="18" t="str">
        <f t="shared" si="4"/>
        <v/>
      </c>
      <c r="D21" s="4" t="str">
        <f t="shared" si="17"/>
        <v/>
      </c>
      <c r="E21" s="4" t="str">
        <f t="shared" si="5"/>
        <v/>
      </c>
      <c r="F21" s="4" t="str">
        <f t="shared" si="6"/>
        <v/>
      </c>
      <c r="G21" s="4" t="str">
        <f t="shared" si="7"/>
        <v/>
      </c>
      <c r="H21" s="4"/>
      <c r="I21" s="4"/>
      <c r="J21" s="4"/>
      <c r="K21" s="4"/>
      <c r="L21" s="4" t="str">
        <f>IF(A21="","",IF(ISERROR(VLOOKUP(A21,'pagos anticipados'!$A$2:$B$5,2,FALSE)),0,VLOOKUP(A21,'pagos anticipados'!$A$2:B19,2,FALSE)))</f>
        <v/>
      </c>
      <c r="M21" s="4" t="str">
        <f t="shared" si="0"/>
        <v/>
      </c>
      <c r="N21" s="1">
        <f t="shared" si="1"/>
        <v>0</v>
      </c>
      <c r="Q21" s="44" t="str">
        <f t="shared" si="8"/>
        <v/>
      </c>
      <c r="R21" s="44" t="str">
        <f t="shared" si="18"/>
        <v/>
      </c>
      <c r="S21" s="44" t="str">
        <f t="shared" si="9"/>
        <v/>
      </c>
      <c r="U21" s="42" t="str">
        <f t="shared" si="19"/>
        <v/>
      </c>
      <c r="V21" s="41" t="str">
        <f t="shared" si="20"/>
        <v/>
      </c>
      <c r="W21" s="41" t="str">
        <f t="shared" si="10"/>
        <v/>
      </c>
      <c r="Y21" s="35" t="str">
        <f t="shared" si="11"/>
        <v/>
      </c>
      <c r="Z21" s="34" t="str">
        <f t="shared" si="21"/>
        <v/>
      </c>
      <c r="AA21" s="34" t="str">
        <f t="shared" si="2"/>
        <v/>
      </c>
      <c r="AC21" s="36" t="str">
        <f t="shared" si="12"/>
        <v/>
      </c>
      <c r="AE21" s="37">
        <f t="shared" si="13"/>
        <v>0</v>
      </c>
      <c r="AG21" s="56" t="str">
        <f t="shared" si="22"/>
        <v/>
      </c>
      <c r="AH21" s="57" t="str">
        <f t="shared" si="14"/>
        <v/>
      </c>
      <c r="AI21" s="57" t="str">
        <f t="shared" si="23"/>
        <v/>
      </c>
      <c r="AJ21" s="57" t="str">
        <f t="shared" si="15"/>
        <v/>
      </c>
      <c r="AK21" s="57" t="str">
        <f t="shared" si="24"/>
        <v/>
      </c>
    </row>
    <row r="22" spans="1:37">
      <c r="A22" s="2" t="str">
        <f t="shared" si="16"/>
        <v/>
      </c>
      <c r="B22" s="10" t="str">
        <f t="shared" si="3"/>
        <v/>
      </c>
      <c r="C22" s="18" t="str">
        <f t="shared" si="4"/>
        <v/>
      </c>
      <c r="D22" s="4" t="str">
        <f t="shared" si="17"/>
        <v/>
      </c>
      <c r="E22" s="4" t="str">
        <f t="shared" si="5"/>
        <v/>
      </c>
      <c r="F22" s="4" t="str">
        <f t="shared" si="6"/>
        <v/>
      </c>
      <c r="G22" s="4" t="str">
        <f t="shared" si="7"/>
        <v/>
      </c>
      <c r="H22" s="4"/>
      <c r="I22" s="4"/>
      <c r="J22" s="4"/>
      <c r="K22" s="4"/>
      <c r="L22" s="4" t="str">
        <f>IF(A22="","",IF(ISERROR(VLOOKUP(A22,'pagos anticipados'!$A$2:$B$5,2,FALSE)),0,VLOOKUP(A22,'pagos anticipados'!$A$2:B20,2,FALSE)))</f>
        <v/>
      </c>
      <c r="M22" s="4" t="str">
        <f t="shared" si="0"/>
        <v/>
      </c>
      <c r="N22" s="1">
        <f t="shared" si="1"/>
        <v>0</v>
      </c>
      <c r="Q22" s="44" t="str">
        <f t="shared" si="8"/>
        <v/>
      </c>
      <c r="R22" s="44" t="str">
        <f t="shared" si="18"/>
        <v/>
      </c>
      <c r="S22" s="44" t="str">
        <f t="shared" si="9"/>
        <v/>
      </c>
      <c r="U22" s="42" t="str">
        <f t="shared" si="19"/>
        <v/>
      </c>
      <c r="V22" s="41" t="str">
        <f t="shared" si="20"/>
        <v/>
      </c>
      <c r="W22" s="41" t="str">
        <f t="shared" si="10"/>
        <v/>
      </c>
      <c r="Y22" s="35" t="str">
        <f t="shared" si="11"/>
        <v/>
      </c>
      <c r="Z22" s="34" t="str">
        <f t="shared" si="21"/>
        <v/>
      </c>
      <c r="AA22" s="34" t="str">
        <f t="shared" si="2"/>
        <v/>
      </c>
      <c r="AC22" s="36" t="str">
        <f t="shared" si="12"/>
        <v/>
      </c>
      <c r="AE22" s="37">
        <f t="shared" si="13"/>
        <v>0</v>
      </c>
      <c r="AG22" s="56" t="str">
        <f t="shared" si="22"/>
        <v/>
      </c>
      <c r="AH22" s="57" t="str">
        <f t="shared" si="14"/>
        <v/>
      </c>
      <c r="AI22" s="57" t="str">
        <f t="shared" si="23"/>
        <v/>
      </c>
      <c r="AJ22" s="57" t="str">
        <f t="shared" si="15"/>
        <v/>
      </c>
      <c r="AK22" s="57" t="str">
        <f t="shared" si="24"/>
        <v/>
      </c>
    </row>
    <row r="23" spans="1:37">
      <c r="A23" s="2" t="str">
        <f t="shared" si="16"/>
        <v/>
      </c>
      <c r="B23" s="10" t="str">
        <f t="shared" si="3"/>
        <v/>
      </c>
      <c r="C23" s="18" t="str">
        <f t="shared" si="4"/>
        <v/>
      </c>
      <c r="D23" s="4" t="str">
        <f t="shared" si="17"/>
        <v/>
      </c>
      <c r="E23" s="4" t="str">
        <f t="shared" si="5"/>
        <v/>
      </c>
      <c r="F23" s="4" t="str">
        <f t="shared" si="6"/>
        <v/>
      </c>
      <c r="G23" s="4" t="str">
        <f t="shared" si="7"/>
        <v/>
      </c>
      <c r="H23" s="4"/>
      <c r="I23" s="4"/>
      <c r="J23" s="4"/>
      <c r="K23" s="4"/>
      <c r="L23" s="4" t="str">
        <f>IF(A23="","",IF(ISERROR(VLOOKUP(A23,'pagos anticipados'!$A$2:$B$5,2,FALSE)),0,VLOOKUP(A23,'pagos anticipados'!$A$2:B21,2,FALSE)))</f>
        <v/>
      </c>
      <c r="M23" s="4" t="str">
        <f t="shared" si="0"/>
        <v/>
      </c>
      <c r="N23" s="1">
        <f t="shared" si="1"/>
        <v>0</v>
      </c>
      <c r="Q23" s="44" t="str">
        <f t="shared" si="8"/>
        <v/>
      </c>
      <c r="R23" s="44" t="str">
        <f t="shared" si="18"/>
        <v/>
      </c>
      <c r="S23" s="44" t="str">
        <f t="shared" si="9"/>
        <v/>
      </c>
      <c r="U23" s="42" t="str">
        <f t="shared" si="19"/>
        <v/>
      </c>
      <c r="V23" s="41" t="str">
        <f t="shared" si="20"/>
        <v/>
      </c>
      <c r="W23" s="41" t="str">
        <f t="shared" si="10"/>
        <v/>
      </c>
      <c r="Y23" s="35" t="str">
        <f t="shared" si="11"/>
        <v/>
      </c>
      <c r="Z23" s="34" t="str">
        <f t="shared" si="21"/>
        <v/>
      </c>
      <c r="AA23" s="34" t="str">
        <f t="shared" si="2"/>
        <v/>
      </c>
      <c r="AC23" s="36" t="str">
        <f t="shared" si="12"/>
        <v/>
      </c>
      <c r="AE23" s="37">
        <f t="shared" si="13"/>
        <v>0</v>
      </c>
      <c r="AG23" s="56" t="str">
        <f t="shared" si="22"/>
        <v/>
      </c>
      <c r="AH23" s="57" t="str">
        <f t="shared" si="14"/>
        <v/>
      </c>
      <c r="AI23" s="57" t="str">
        <f t="shared" si="23"/>
        <v/>
      </c>
      <c r="AJ23" s="57" t="str">
        <f t="shared" si="15"/>
        <v/>
      </c>
      <c r="AK23" s="57" t="str">
        <f t="shared" si="24"/>
        <v/>
      </c>
    </row>
    <row r="24" spans="1:37">
      <c r="A24" s="2" t="str">
        <f t="shared" si="16"/>
        <v/>
      </c>
      <c r="B24" s="10" t="str">
        <f t="shared" si="3"/>
        <v/>
      </c>
      <c r="C24" s="18" t="str">
        <f t="shared" si="4"/>
        <v/>
      </c>
      <c r="D24" s="4" t="str">
        <f t="shared" si="17"/>
        <v/>
      </c>
      <c r="E24" s="4" t="str">
        <f t="shared" si="5"/>
        <v/>
      </c>
      <c r="F24" s="4" t="str">
        <f t="shared" si="6"/>
        <v/>
      </c>
      <c r="G24" s="4" t="str">
        <f t="shared" si="7"/>
        <v/>
      </c>
      <c r="H24" s="4"/>
      <c r="I24" s="4"/>
      <c r="J24" s="4"/>
      <c r="K24" s="4"/>
      <c r="L24" s="4" t="str">
        <f>IF(A24="","",IF(ISERROR(VLOOKUP(A24,'pagos anticipados'!$A$2:$B$5,2,FALSE)),0,VLOOKUP(A24,'pagos anticipados'!$A$2:B22,2,FALSE)))</f>
        <v/>
      </c>
      <c r="M24" s="4" t="str">
        <f t="shared" si="0"/>
        <v/>
      </c>
      <c r="N24" s="1">
        <f t="shared" si="1"/>
        <v>0</v>
      </c>
      <c r="Q24" s="44" t="str">
        <f t="shared" si="8"/>
        <v/>
      </c>
      <c r="R24" s="44" t="str">
        <f t="shared" si="18"/>
        <v/>
      </c>
      <c r="S24" s="44" t="str">
        <f t="shared" si="9"/>
        <v/>
      </c>
      <c r="U24" s="42" t="str">
        <f t="shared" si="19"/>
        <v/>
      </c>
      <c r="V24" s="41" t="str">
        <f t="shared" si="20"/>
        <v/>
      </c>
      <c r="W24" s="41" t="str">
        <f t="shared" si="10"/>
        <v/>
      </c>
      <c r="Y24" s="35" t="str">
        <f t="shared" si="11"/>
        <v/>
      </c>
      <c r="Z24" s="34" t="str">
        <f t="shared" si="21"/>
        <v/>
      </c>
      <c r="AA24" s="34" t="str">
        <f t="shared" si="2"/>
        <v/>
      </c>
      <c r="AC24" s="36" t="str">
        <f t="shared" si="12"/>
        <v/>
      </c>
      <c r="AE24" s="37">
        <f t="shared" si="13"/>
        <v>0</v>
      </c>
      <c r="AG24" s="56" t="str">
        <f t="shared" si="22"/>
        <v/>
      </c>
      <c r="AH24" s="57" t="str">
        <f t="shared" si="14"/>
        <v/>
      </c>
      <c r="AI24" s="57" t="str">
        <f t="shared" si="23"/>
        <v/>
      </c>
      <c r="AJ24" s="57" t="str">
        <f t="shared" si="15"/>
        <v/>
      </c>
      <c r="AK24" s="57" t="str">
        <f t="shared" si="24"/>
        <v/>
      </c>
    </row>
    <row r="25" spans="1:37">
      <c r="A25" s="2" t="str">
        <f t="shared" si="16"/>
        <v/>
      </c>
      <c r="B25" s="10" t="str">
        <f t="shared" si="3"/>
        <v/>
      </c>
      <c r="C25" s="18" t="str">
        <f t="shared" si="4"/>
        <v/>
      </c>
      <c r="D25" s="4" t="str">
        <f t="shared" si="17"/>
        <v/>
      </c>
      <c r="E25" s="4" t="str">
        <f t="shared" si="5"/>
        <v/>
      </c>
      <c r="F25" s="4" t="str">
        <f t="shared" si="6"/>
        <v/>
      </c>
      <c r="G25" s="4" t="str">
        <f t="shared" si="7"/>
        <v/>
      </c>
      <c r="H25" s="4"/>
      <c r="I25" s="4"/>
      <c r="J25" s="4"/>
      <c r="K25" s="4"/>
      <c r="L25" s="4" t="str">
        <f>IF(A25="","",IF(ISERROR(VLOOKUP(A25,'pagos anticipados'!$A$2:$B$5,2,FALSE)),0,VLOOKUP(A25,'pagos anticipados'!$A$2:B23,2,FALSE)))</f>
        <v/>
      </c>
      <c r="M25" s="4" t="str">
        <f t="shared" si="0"/>
        <v/>
      </c>
      <c r="N25" s="1">
        <f t="shared" si="1"/>
        <v>0</v>
      </c>
      <c r="Q25" s="44" t="str">
        <f t="shared" si="8"/>
        <v/>
      </c>
      <c r="R25" s="44" t="str">
        <f t="shared" si="18"/>
        <v/>
      </c>
      <c r="S25" s="44" t="str">
        <f t="shared" si="9"/>
        <v/>
      </c>
      <c r="U25" s="42" t="str">
        <f t="shared" si="19"/>
        <v/>
      </c>
      <c r="V25" s="41" t="str">
        <f t="shared" si="20"/>
        <v/>
      </c>
      <c r="W25" s="41" t="str">
        <f t="shared" si="10"/>
        <v/>
      </c>
      <c r="Y25" s="35" t="str">
        <f t="shared" si="11"/>
        <v/>
      </c>
      <c r="Z25" s="34" t="str">
        <f t="shared" si="21"/>
        <v/>
      </c>
      <c r="AA25" s="34" t="str">
        <f t="shared" si="2"/>
        <v/>
      </c>
      <c r="AC25" s="36" t="str">
        <f t="shared" si="12"/>
        <v/>
      </c>
      <c r="AE25" s="37">
        <f t="shared" si="13"/>
        <v>0</v>
      </c>
      <c r="AG25" s="56" t="str">
        <f t="shared" si="22"/>
        <v/>
      </c>
      <c r="AH25" s="57" t="str">
        <f t="shared" si="14"/>
        <v/>
      </c>
      <c r="AI25" s="57" t="str">
        <f t="shared" si="23"/>
        <v/>
      </c>
      <c r="AJ25" s="57" t="str">
        <f t="shared" si="15"/>
        <v/>
      </c>
      <c r="AK25" s="57" t="str">
        <f t="shared" si="24"/>
        <v/>
      </c>
    </row>
    <row r="26" spans="1:37">
      <c r="A26" s="2" t="str">
        <f t="shared" si="16"/>
        <v/>
      </c>
      <c r="B26" s="10" t="str">
        <f t="shared" si="3"/>
        <v/>
      </c>
      <c r="C26" s="18" t="str">
        <f t="shared" si="4"/>
        <v/>
      </c>
      <c r="D26" s="4" t="str">
        <f t="shared" si="17"/>
        <v/>
      </c>
      <c r="E26" s="4" t="str">
        <f t="shared" si="5"/>
        <v/>
      </c>
      <c r="F26" s="4" t="str">
        <f t="shared" si="6"/>
        <v/>
      </c>
      <c r="G26" s="4" t="str">
        <f t="shared" si="7"/>
        <v/>
      </c>
      <c r="H26" s="4"/>
      <c r="I26" s="4"/>
      <c r="J26" s="4"/>
      <c r="K26" s="4"/>
      <c r="L26" s="4" t="str">
        <f>IF(A26="","",IF(ISERROR(VLOOKUP(A26,'pagos anticipados'!$A$2:$B$5,2,FALSE)),0,VLOOKUP(A26,'pagos anticipados'!$A$2:B24,2,FALSE)))</f>
        <v/>
      </c>
      <c r="M26" s="4" t="str">
        <f t="shared" si="0"/>
        <v/>
      </c>
      <c r="N26" s="1">
        <f t="shared" si="1"/>
        <v>0</v>
      </c>
      <c r="Q26" s="44" t="str">
        <f t="shared" si="8"/>
        <v/>
      </c>
      <c r="R26" s="44" t="str">
        <f t="shared" si="18"/>
        <v/>
      </c>
      <c r="S26" s="44" t="str">
        <f t="shared" si="9"/>
        <v/>
      </c>
      <c r="U26" s="42" t="str">
        <f t="shared" si="19"/>
        <v/>
      </c>
      <c r="V26" s="41" t="str">
        <f t="shared" si="20"/>
        <v/>
      </c>
      <c r="W26" s="41" t="str">
        <f t="shared" si="10"/>
        <v/>
      </c>
      <c r="Y26" s="35" t="str">
        <f t="shared" si="11"/>
        <v/>
      </c>
      <c r="Z26" s="34" t="str">
        <f t="shared" si="21"/>
        <v/>
      </c>
      <c r="AA26" s="34" t="str">
        <f t="shared" si="2"/>
        <v/>
      </c>
      <c r="AC26" s="36" t="str">
        <f t="shared" si="12"/>
        <v/>
      </c>
      <c r="AE26" s="37">
        <f t="shared" si="13"/>
        <v>0</v>
      </c>
      <c r="AG26" s="56" t="str">
        <f t="shared" si="22"/>
        <v/>
      </c>
      <c r="AH26" s="57" t="str">
        <f t="shared" si="14"/>
        <v/>
      </c>
      <c r="AI26" s="57" t="str">
        <f t="shared" si="23"/>
        <v/>
      </c>
      <c r="AJ26" s="57" t="str">
        <f t="shared" si="15"/>
        <v/>
      </c>
      <c r="AK26" s="57" t="str">
        <f t="shared" si="24"/>
        <v/>
      </c>
    </row>
    <row r="27" spans="1:37">
      <c r="A27" s="2" t="str">
        <f t="shared" si="16"/>
        <v/>
      </c>
      <c r="B27" s="10" t="str">
        <f t="shared" si="3"/>
        <v/>
      </c>
      <c r="C27" s="18" t="str">
        <f t="shared" si="4"/>
        <v/>
      </c>
      <c r="D27" s="4" t="str">
        <f t="shared" si="17"/>
        <v/>
      </c>
      <c r="E27" s="4" t="str">
        <f t="shared" si="5"/>
        <v/>
      </c>
      <c r="F27" s="4" t="str">
        <f t="shared" si="6"/>
        <v/>
      </c>
      <c r="G27" s="4" t="str">
        <f t="shared" si="7"/>
        <v/>
      </c>
      <c r="H27" s="4"/>
      <c r="I27" s="4"/>
      <c r="J27" s="4"/>
      <c r="K27" s="4"/>
      <c r="L27" s="4" t="str">
        <f>IF(A27="","",IF(ISERROR(VLOOKUP(A27,'pagos anticipados'!$A$2:$B$5,2,FALSE)),0,VLOOKUP(A27,'pagos anticipados'!$A$2:B25,2,FALSE)))</f>
        <v/>
      </c>
      <c r="M27" s="4" t="str">
        <f t="shared" si="0"/>
        <v/>
      </c>
      <c r="N27" s="1">
        <f t="shared" si="1"/>
        <v>0</v>
      </c>
      <c r="Q27" s="44" t="str">
        <f t="shared" si="8"/>
        <v/>
      </c>
      <c r="R27" s="44" t="str">
        <f t="shared" si="18"/>
        <v/>
      </c>
      <c r="S27" s="44" t="str">
        <f t="shared" si="9"/>
        <v/>
      </c>
      <c r="U27" s="42" t="str">
        <f t="shared" si="19"/>
        <v/>
      </c>
      <c r="V27" s="41" t="str">
        <f t="shared" si="20"/>
        <v/>
      </c>
      <c r="W27" s="41" t="str">
        <f t="shared" si="10"/>
        <v/>
      </c>
      <c r="Y27" s="35" t="str">
        <f t="shared" si="11"/>
        <v/>
      </c>
      <c r="Z27" s="34" t="str">
        <f t="shared" si="21"/>
        <v/>
      </c>
      <c r="AA27" s="34" t="str">
        <f t="shared" si="2"/>
        <v/>
      </c>
      <c r="AC27" s="36" t="str">
        <f t="shared" si="12"/>
        <v/>
      </c>
      <c r="AE27" s="37">
        <f t="shared" si="13"/>
        <v>0</v>
      </c>
      <c r="AG27" s="56" t="str">
        <f t="shared" si="22"/>
        <v/>
      </c>
      <c r="AH27" s="57" t="str">
        <f t="shared" si="14"/>
        <v/>
      </c>
      <c r="AI27" s="57" t="str">
        <f t="shared" si="23"/>
        <v/>
      </c>
      <c r="AJ27" s="57" t="str">
        <f t="shared" si="15"/>
        <v/>
      </c>
      <c r="AK27" s="57" t="str">
        <f t="shared" si="24"/>
        <v/>
      </c>
    </row>
    <row r="28" spans="1:37">
      <c r="A28" s="2" t="str">
        <f t="shared" si="16"/>
        <v/>
      </c>
      <c r="B28" s="10" t="str">
        <f t="shared" si="3"/>
        <v/>
      </c>
      <c r="C28" s="18" t="str">
        <f t="shared" si="4"/>
        <v/>
      </c>
      <c r="D28" s="4" t="str">
        <f t="shared" si="17"/>
        <v/>
      </c>
      <c r="E28" s="4" t="str">
        <f t="shared" si="5"/>
        <v/>
      </c>
      <c r="F28" s="4" t="str">
        <f t="shared" si="6"/>
        <v/>
      </c>
      <c r="G28" s="4" t="str">
        <f t="shared" si="7"/>
        <v/>
      </c>
      <c r="H28" s="4"/>
      <c r="I28" s="4"/>
      <c r="J28" s="4"/>
      <c r="K28" s="4"/>
      <c r="L28" s="4" t="str">
        <f>IF(A28="","",IF(ISERROR(VLOOKUP(A28,'pagos anticipados'!$A$2:$B$5,2,FALSE)),0,VLOOKUP(A28,'pagos anticipados'!$A$2:B26,2,FALSE)))</f>
        <v/>
      </c>
      <c r="M28" s="4" t="str">
        <f t="shared" si="0"/>
        <v/>
      </c>
      <c r="N28" s="1">
        <f t="shared" si="1"/>
        <v>0</v>
      </c>
      <c r="Q28" s="44" t="str">
        <f t="shared" si="8"/>
        <v/>
      </c>
      <c r="R28" s="44" t="str">
        <f t="shared" si="18"/>
        <v/>
      </c>
      <c r="S28" s="44" t="str">
        <f t="shared" si="9"/>
        <v/>
      </c>
      <c r="U28" s="42" t="str">
        <f t="shared" si="19"/>
        <v/>
      </c>
      <c r="V28" s="41" t="str">
        <f t="shared" si="20"/>
        <v/>
      </c>
      <c r="W28" s="41" t="str">
        <f t="shared" si="10"/>
        <v/>
      </c>
      <c r="Y28" s="35" t="str">
        <f t="shared" si="11"/>
        <v/>
      </c>
      <c r="Z28" s="34" t="str">
        <f t="shared" si="21"/>
        <v/>
      </c>
      <c r="AA28" s="34" t="str">
        <f t="shared" si="2"/>
        <v/>
      </c>
      <c r="AC28" s="36" t="str">
        <f t="shared" si="12"/>
        <v/>
      </c>
      <c r="AE28" s="37">
        <f t="shared" si="13"/>
        <v>0</v>
      </c>
      <c r="AG28" s="56" t="str">
        <f t="shared" si="22"/>
        <v/>
      </c>
      <c r="AH28" s="57" t="str">
        <f t="shared" si="14"/>
        <v/>
      </c>
      <c r="AI28" s="57" t="str">
        <f t="shared" si="23"/>
        <v/>
      </c>
      <c r="AJ28" s="57" t="str">
        <f t="shared" si="15"/>
        <v/>
      </c>
      <c r="AK28" s="57" t="str">
        <f t="shared" si="24"/>
        <v/>
      </c>
    </row>
    <row r="29" spans="1:37">
      <c r="A29" s="2" t="str">
        <f t="shared" si="16"/>
        <v/>
      </c>
      <c r="B29" s="10" t="str">
        <f t="shared" si="3"/>
        <v/>
      </c>
      <c r="C29" s="18" t="str">
        <f t="shared" si="4"/>
        <v/>
      </c>
      <c r="D29" s="4" t="str">
        <f t="shared" si="17"/>
        <v/>
      </c>
      <c r="E29" s="4" t="str">
        <f t="shared" si="5"/>
        <v/>
      </c>
      <c r="F29" s="4" t="str">
        <f t="shared" si="6"/>
        <v/>
      </c>
      <c r="G29" s="4" t="str">
        <f t="shared" si="7"/>
        <v/>
      </c>
      <c r="H29" s="4"/>
      <c r="I29" s="4"/>
      <c r="J29" s="4"/>
      <c r="K29" s="4"/>
      <c r="L29" s="4" t="str">
        <f>IF(A29="","",IF(ISERROR(VLOOKUP(A29,'pagos anticipados'!$A$2:$B$5,2,FALSE)),0,VLOOKUP(A29,'pagos anticipados'!$A$2:B27,2,FALSE)))</f>
        <v/>
      </c>
      <c r="M29" s="4" t="str">
        <f t="shared" si="0"/>
        <v/>
      </c>
      <c r="N29" s="1">
        <f t="shared" si="1"/>
        <v>0</v>
      </c>
      <c r="Q29" s="44" t="str">
        <f t="shared" si="8"/>
        <v/>
      </c>
      <c r="R29" s="44" t="str">
        <f t="shared" si="18"/>
        <v/>
      </c>
      <c r="S29" s="44" t="str">
        <f t="shared" si="9"/>
        <v/>
      </c>
      <c r="U29" s="42" t="str">
        <f t="shared" si="19"/>
        <v/>
      </c>
      <c r="V29" s="41" t="str">
        <f t="shared" si="20"/>
        <v/>
      </c>
      <c r="W29" s="41" t="str">
        <f t="shared" si="10"/>
        <v/>
      </c>
      <c r="Y29" s="35" t="str">
        <f t="shared" si="11"/>
        <v/>
      </c>
      <c r="Z29" s="34" t="str">
        <f t="shared" si="21"/>
        <v/>
      </c>
      <c r="AA29" s="34" t="str">
        <f t="shared" si="2"/>
        <v/>
      </c>
      <c r="AC29" s="36" t="str">
        <f t="shared" si="12"/>
        <v/>
      </c>
      <c r="AE29" s="37">
        <f t="shared" si="13"/>
        <v>0</v>
      </c>
      <c r="AG29" s="56" t="str">
        <f t="shared" si="22"/>
        <v/>
      </c>
      <c r="AH29" s="57" t="str">
        <f t="shared" si="14"/>
        <v/>
      </c>
      <c r="AI29" s="57" t="str">
        <f t="shared" si="23"/>
        <v/>
      </c>
      <c r="AJ29" s="57" t="str">
        <f t="shared" si="15"/>
        <v/>
      </c>
      <c r="AK29" s="57" t="str">
        <f t="shared" si="24"/>
        <v/>
      </c>
    </row>
    <row r="30" spans="1:37">
      <c r="A30" s="2" t="str">
        <f t="shared" si="16"/>
        <v/>
      </c>
      <c r="B30" s="10" t="str">
        <f t="shared" si="3"/>
        <v/>
      </c>
      <c r="C30" s="18" t="str">
        <f t="shared" si="4"/>
        <v/>
      </c>
      <c r="D30" s="4" t="str">
        <f t="shared" si="17"/>
        <v/>
      </c>
      <c r="E30" s="4" t="str">
        <f t="shared" si="5"/>
        <v/>
      </c>
      <c r="F30" s="4" t="str">
        <f t="shared" si="6"/>
        <v/>
      </c>
      <c r="G30" s="4" t="str">
        <f t="shared" si="7"/>
        <v/>
      </c>
      <c r="H30" s="4"/>
      <c r="I30" s="4"/>
      <c r="J30" s="4"/>
      <c r="K30" s="4"/>
      <c r="L30" s="4" t="str">
        <f>IF(A30="","",IF(ISERROR(VLOOKUP(A30,'pagos anticipados'!$A$2:$B$5,2,FALSE)),0,VLOOKUP(A30,'pagos anticipados'!$A$2:B28,2,FALSE)))</f>
        <v/>
      </c>
      <c r="M30" s="4" t="str">
        <f t="shared" si="0"/>
        <v/>
      </c>
      <c r="N30" s="1">
        <f t="shared" si="1"/>
        <v>0</v>
      </c>
      <c r="Q30" s="44" t="str">
        <f t="shared" si="8"/>
        <v/>
      </c>
      <c r="R30" s="44" t="str">
        <f t="shared" si="18"/>
        <v/>
      </c>
      <c r="S30" s="44" t="str">
        <f t="shared" si="9"/>
        <v/>
      </c>
      <c r="U30" s="42" t="str">
        <f t="shared" si="19"/>
        <v/>
      </c>
      <c r="V30" s="41" t="str">
        <f t="shared" si="20"/>
        <v/>
      </c>
      <c r="W30" s="41" t="str">
        <f t="shared" si="10"/>
        <v/>
      </c>
      <c r="Y30" s="35" t="str">
        <f t="shared" si="11"/>
        <v/>
      </c>
      <c r="Z30" s="34" t="str">
        <f t="shared" si="21"/>
        <v/>
      </c>
      <c r="AA30" s="34" t="str">
        <f t="shared" si="2"/>
        <v/>
      </c>
      <c r="AC30" s="36" t="str">
        <f t="shared" si="12"/>
        <v/>
      </c>
      <c r="AE30" s="37">
        <f t="shared" si="13"/>
        <v>0</v>
      </c>
      <c r="AG30" s="56" t="str">
        <f t="shared" si="22"/>
        <v/>
      </c>
      <c r="AH30" s="57" t="str">
        <f t="shared" si="14"/>
        <v/>
      </c>
      <c r="AI30" s="57" t="str">
        <f t="shared" si="23"/>
        <v/>
      </c>
      <c r="AJ30" s="57" t="str">
        <f t="shared" si="15"/>
        <v/>
      </c>
      <c r="AK30" s="57" t="str">
        <f t="shared" si="24"/>
        <v/>
      </c>
    </row>
    <row r="31" spans="1:37">
      <c r="A31" s="2" t="str">
        <f t="shared" si="16"/>
        <v/>
      </c>
      <c r="B31" s="10" t="str">
        <f t="shared" si="3"/>
        <v/>
      </c>
      <c r="C31" s="18" t="str">
        <f t="shared" si="4"/>
        <v/>
      </c>
      <c r="D31" s="4" t="str">
        <f t="shared" si="17"/>
        <v/>
      </c>
      <c r="E31" s="4" t="str">
        <f t="shared" si="5"/>
        <v/>
      </c>
      <c r="F31" s="4" t="str">
        <f t="shared" si="6"/>
        <v/>
      </c>
      <c r="G31" s="4" t="str">
        <f t="shared" si="7"/>
        <v/>
      </c>
      <c r="H31" s="4"/>
      <c r="I31" s="4"/>
      <c r="J31" s="4"/>
      <c r="K31" s="4"/>
      <c r="L31" s="4" t="str">
        <f>IF(A31="","",IF(ISERROR(VLOOKUP(A31,'pagos anticipados'!$A$2:$B$5,2,FALSE)),0,VLOOKUP(A31,'pagos anticipados'!$A$2:B29,2,FALSE)))</f>
        <v/>
      </c>
      <c r="M31" s="4" t="str">
        <f t="shared" si="0"/>
        <v/>
      </c>
      <c r="N31" s="1">
        <f t="shared" si="1"/>
        <v>0</v>
      </c>
      <c r="Q31" s="44" t="str">
        <f t="shared" si="8"/>
        <v/>
      </c>
      <c r="R31" s="44" t="str">
        <f t="shared" si="18"/>
        <v/>
      </c>
      <c r="S31" s="44" t="str">
        <f t="shared" si="9"/>
        <v/>
      </c>
      <c r="U31" s="42" t="str">
        <f t="shared" si="19"/>
        <v/>
      </c>
      <c r="V31" s="41" t="str">
        <f t="shared" si="20"/>
        <v/>
      </c>
      <c r="W31" s="41" t="str">
        <f t="shared" si="10"/>
        <v/>
      </c>
      <c r="Y31" s="35" t="str">
        <f t="shared" si="11"/>
        <v/>
      </c>
      <c r="Z31" s="34" t="str">
        <f t="shared" si="21"/>
        <v/>
      </c>
      <c r="AA31" s="34" t="str">
        <f t="shared" si="2"/>
        <v/>
      </c>
      <c r="AC31" s="36" t="str">
        <f t="shared" si="12"/>
        <v/>
      </c>
      <c r="AE31" s="37">
        <f t="shared" si="13"/>
        <v>0</v>
      </c>
      <c r="AG31" s="56" t="str">
        <f t="shared" si="22"/>
        <v/>
      </c>
      <c r="AH31" s="57" t="str">
        <f t="shared" si="14"/>
        <v/>
      </c>
      <c r="AI31" s="57" t="str">
        <f t="shared" si="23"/>
        <v/>
      </c>
      <c r="AJ31" s="57" t="str">
        <f t="shared" si="15"/>
        <v/>
      </c>
      <c r="AK31" s="57" t="str">
        <f t="shared" si="24"/>
        <v/>
      </c>
    </row>
    <row r="32" spans="1:37">
      <c r="A32" s="2" t="str">
        <f t="shared" si="16"/>
        <v/>
      </c>
      <c r="B32" s="10" t="str">
        <f t="shared" si="3"/>
        <v/>
      </c>
      <c r="C32" s="18" t="str">
        <f t="shared" si="4"/>
        <v/>
      </c>
      <c r="D32" s="4" t="str">
        <f t="shared" si="17"/>
        <v/>
      </c>
      <c r="E32" s="4" t="str">
        <f t="shared" si="5"/>
        <v/>
      </c>
      <c r="F32" s="4" t="str">
        <f t="shared" si="6"/>
        <v/>
      </c>
      <c r="G32" s="4" t="str">
        <f t="shared" si="7"/>
        <v/>
      </c>
      <c r="H32" s="4"/>
      <c r="I32" s="4"/>
      <c r="J32" s="4"/>
      <c r="K32" s="4"/>
      <c r="L32" s="4" t="str">
        <f>IF(A32="","",IF(ISERROR(VLOOKUP(A32,'pagos anticipados'!$A$2:$B$5,2,FALSE)),0,VLOOKUP(A32,'pagos anticipados'!$A$2:B30,2,FALSE)))</f>
        <v/>
      </c>
      <c r="M32" s="4" t="str">
        <f t="shared" si="0"/>
        <v/>
      </c>
      <c r="N32" s="1">
        <f t="shared" si="1"/>
        <v>0</v>
      </c>
      <c r="Q32" s="44" t="str">
        <f t="shared" si="8"/>
        <v/>
      </c>
      <c r="R32" s="44" t="str">
        <f t="shared" si="18"/>
        <v/>
      </c>
      <c r="S32" s="44" t="str">
        <f t="shared" si="9"/>
        <v/>
      </c>
      <c r="U32" s="42" t="str">
        <f t="shared" si="19"/>
        <v/>
      </c>
      <c r="V32" s="41" t="str">
        <f t="shared" si="20"/>
        <v/>
      </c>
      <c r="W32" s="41" t="str">
        <f t="shared" si="10"/>
        <v/>
      </c>
      <c r="Y32" s="35" t="str">
        <f t="shared" si="11"/>
        <v/>
      </c>
      <c r="Z32" s="34" t="str">
        <f t="shared" si="21"/>
        <v/>
      </c>
      <c r="AA32" s="34" t="str">
        <f t="shared" si="2"/>
        <v/>
      </c>
      <c r="AC32" s="36" t="str">
        <f t="shared" si="12"/>
        <v/>
      </c>
      <c r="AE32" s="37">
        <f t="shared" si="13"/>
        <v>0</v>
      </c>
      <c r="AG32" s="56" t="str">
        <f t="shared" si="22"/>
        <v/>
      </c>
      <c r="AH32" s="57" t="str">
        <f t="shared" si="14"/>
        <v/>
      </c>
      <c r="AI32" s="57" t="str">
        <f t="shared" si="23"/>
        <v/>
      </c>
      <c r="AJ32" s="57" t="str">
        <f t="shared" si="15"/>
        <v/>
      </c>
      <c r="AK32" s="57" t="str">
        <f t="shared" si="24"/>
        <v/>
      </c>
    </row>
    <row r="33" spans="1:37">
      <c r="A33" s="2" t="str">
        <f t="shared" si="16"/>
        <v/>
      </c>
      <c r="B33" s="10" t="str">
        <f t="shared" si="3"/>
        <v/>
      </c>
      <c r="C33" s="18" t="str">
        <f t="shared" si="4"/>
        <v/>
      </c>
      <c r="D33" s="4" t="str">
        <f t="shared" si="17"/>
        <v/>
      </c>
      <c r="E33" s="4" t="str">
        <f t="shared" si="5"/>
        <v/>
      </c>
      <c r="F33" s="4" t="str">
        <f t="shared" si="6"/>
        <v/>
      </c>
      <c r="G33" s="4" t="str">
        <f t="shared" si="7"/>
        <v/>
      </c>
      <c r="H33" s="4"/>
      <c r="I33" s="4"/>
      <c r="J33" s="4"/>
      <c r="K33" s="4"/>
      <c r="L33" s="4" t="str">
        <f>IF(A33="","",IF(ISERROR(VLOOKUP(A33,'pagos anticipados'!$A$2:$B$5,2,FALSE)),0,VLOOKUP(A33,'pagos anticipados'!$A$2:B31,2,FALSE)))</f>
        <v/>
      </c>
      <c r="M33" s="4" t="str">
        <f t="shared" si="0"/>
        <v/>
      </c>
      <c r="N33" s="1">
        <f t="shared" si="1"/>
        <v>0</v>
      </c>
      <c r="Q33" s="44" t="str">
        <f t="shared" si="8"/>
        <v/>
      </c>
      <c r="R33" s="44" t="str">
        <f t="shared" si="18"/>
        <v/>
      </c>
      <c r="S33" s="44" t="str">
        <f t="shared" si="9"/>
        <v/>
      </c>
      <c r="U33" s="42" t="str">
        <f t="shared" si="19"/>
        <v/>
      </c>
      <c r="V33" s="41" t="str">
        <f t="shared" si="20"/>
        <v/>
      </c>
      <c r="W33" s="41" t="str">
        <f t="shared" si="10"/>
        <v/>
      </c>
      <c r="Y33" s="35" t="str">
        <f t="shared" si="11"/>
        <v/>
      </c>
      <c r="Z33" s="34" t="str">
        <f t="shared" si="21"/>
        <v/>
      </c>
      <c r="AA33" s="34" t="str">
        <f t="shared" si="2"/>
        <v/>
      </c>
      <c r="AC33" s="36" t="str">
        <f t="shared" si="12"/>
        <v/>
      </c>
      <c r="AE33" s="37">
        <f t="shared" si="13"/>
        <v>0</v>
      </c>
      <c r="AG33" s="56" t="str">
        <f t="shared" si="22"/>
        <v/>
      </c>
      <c r="AH33" s="57" t="str">
        <f t="shared" si="14"/>
        <v/>
      </c>
      <c r="AI33" s="57" t="str">
        <f t="shared" si="23"/>
        <v/>
      </c>
      <c r="AJ33" s="57" t="str">
        <f t="shared" si="15"/>
        <v/>
      </c>
      <c r="AK33" s="57" t="str">
        <f t="shared" si="24"/>
        <v/>
      </c>
    </row>
    <row r="34" spans="1:37">
      <c r="A34" s="2" t="str">
        <f t="shared" si="16"/>
        <v/>
      </c>
      <c r="B34" s="10" t="str">
        <f t="shared" si="3"/>
        <v/>
      </c>
      <c r="C34" s="18" t="str">
        <f t="shared" si="4"/>
        <v/>
      </c>
      <c r="D34" s="4" t="str">
        <f t="shared" si="17"/>
        <v/>
      </c>
      <c r="E34" s="4" t="str">
        <f t="shared" si="5"/>
        <v/>
      </c>
      <c r="F34" s="4" t="str">
        <f t="shared" si="6"/>
        <v/>
      </c>
      <c r="G34" s="4" t="str">
        <f t="shared" si="7"/>
        <v/>
      </c>
      <c r="H34" s="4"/>
      <c r="I34" s="4"/>
      <c r="J34" s="4"/>
      <c r="K34" s="4"/>
      <c r="L34" s="4" t="str">
        <f>IF(A34="","",IF(ISERROR(VLOOKUP(A34,'pagos anticipados'!$A$2:$B$5,2,FALSE)),0,VLOOKUP(A34,'pagos anticipados'!$A$2:B32,2,FALSE)))</f>
        <v/>
      </c>
      <c r="M34" s="4" t="str">
        <f t="shared" si="0"/>
        <v/>
      </c>
      <c r="N34" s="1">
        <f t="shared" si="1"/>
        <v>0</v>
      </c>
      <c r="Q34" s="44" t="str">
        <f t="shared" si="8"/>
        <v/>
      </c>
      <c r="R34" s="44" t="str">
        <f t="shared" si="18"/>
        <v/>
      </c>
      <c r="S34" s="44" t="str">
        <f t="shared" si="9"/>
        <v/>
      </c>
      <c r="U34" s="42" t="str">
        <f t="shared" si="19"/>
        <v/>
      </c>
      <c r="V34" s="41" t="str">
        <f t="shared" si="20"/>
        <v/>
      </c>
      <c r="W34" s="41" t="str">
        <f t="shared" si="10"/>
        <v/>
      </c>
      <c r="Y34" s="35" t="str">
        <f t="shared" si="11"/>
        <v/>
      </c>
      <c r="Z34" s="34" t="str">
        <f t="shared" si="21"/>
        <v/>
      </c>
      <c r="AA34" s="34" t="str">
        <f t="shared" si="2"/>
        <v/>
      </c>
      <c r="AC34" s="36" t="str">
        <f t="shared" si="12"/>
        <v/>
      </c>
      <c r="AE34" s="37">
        <f t="shared" si="13"/>
        <v>0</v>
      </c>
      <c r="AG34" s="56" t="str">
        <f t="shared" si="22"/>
        <v/>
      </c>
      <c r="AH34" s="57" t="str">
        <f t="shared" si="14"/>
        <v/>
      </c>
      <c r="AI34" s="57" t="str">
        <f t="shared" si="23"/>
        <v/>
      </c>
      <c r="AJ34" s="57" t="str">
        <f t="shared" si="15"/>
        <v/>
      </c>
      <c r="AK34" s="57" t="str">
        <f t="shared" si="24"/>
        <v/>
      </c>
    </row>
    <row r="35" spans="1:37">
      <c r="A35" s="2" t="str">
        <f t="shared" si="16"/>
        <v/>
      </c>
      <c r="B35" s="10" t="str">
        <f t="shared" si="3"/>
        <v/>
      </c>
      <c r="C35" s="18" t="str">
        <f t="shared" si="4"/>
        <v/>
      </c>
      <c r="D35" s="4" t="str">
        <f t="shared" si="17"/>
        <v/>
      </c>
      <c r="E35" s="4" t="str">
        <f t="shared" si="5"/>
        <v/>
      </c>
      <c r="F35" s="4" t="str">
        <f t="shared" si="6"/>
        <v/>
      </c>
      <c r="G35" s="4" t="str">
        <f t="shared" si="7"/>
        <v/>
      </c>
      <c r="H35" s="4"/>
      <c r="I35" s="4"/>
      <c r="J35" s="4"/>
      <c r="K35" s="4"/>
      <c r="L35" s="4" t="str">
        <f>IF(A35="","",IF(ISERROR(VLOOKUP(A35,'pagos anticipados'!$A$2:$B$5,2,FALSE)),0,VLOOKUP(A35,'pagos anticipados'!$A$2:B33,2,FALSE)))</f>
        <v/>
      </c>
      <c r="M35" s="4" t="str">
        <f t="shared" si="0"/>
        <v/>
      </c>
      <c r="N35" s="1">
        <f t="shared" si="1"/>
        <v>0</v>
      </c>
      <c r="Q35" s="44" t="str">
        <f t="shared" si="8"/>
        <v/>
      </c>
      <c r="R35" s="44" t="str">
        <f t="shared" si="18"/>
        <v/>
      </c>
      <c r="S35" s="44" t="str">
        <f t="shared" si="9"/>
        <v/>
      </c>
      <c r="U35" s="42" t="str">
        <f t="shared" si="19"/>
        <v/>
      </c>
      <c r="V35" s="41" t="str">
        <f t="shared" si="20"/>
        <v/>
      </c>
      <c r="W35" s="41" t="str">
        <f t="shared" si="10"/>
        <v/>
      </c>
      <c r="Y35" s="35" t="str">
        <f t="shared" si="11"/>
        <v/>
      </c>
      <c r="Z35" s="34" t="str">
        <f t="shared" si="21"/>
        <v/>
      </c>
      <c r="AA35" s="34" t="str">
        <f t="shared" si="2"/>
        <v/>
      </c>
      <c r="AC35" s="36" t="str">
        <f t="shared" si="12"/>
        <v/>
      </c>
      <c r="AE35" s="37">
        <f t="shared" si="13"/>
        <v>0</v>
      </c>
      <c r="AG35" s="56" t="str">
        <f t="shared" si="22"/>
        <v/>
      </c>
      <c r="AH35" s="57" t="str">
        <f t="shared" si="14"/>
        <v/>
      </c>
      <c r="AI35" s="57" t="str">
        <f t="shared" si="23"/>
        <v/>
      </c>
      <c r="AJ35" s="57" t="str">
        <f t="shared" si="15"/>
        <v/>
      </c>
      <c r="AK35" s="57" t="str">
        <f t="shared" si="24"/>
        <v/>
      </c>
    </row>
    <row r="36" spans="1:37">
      <c r="A36" s="2" t="str">
        <f t="shared" si="16"/>
        <v/>
      </c>
      <c r="B36" s="10" t="str">
        <f t="shared" si="3"/>
        <v/>
      </c>
      <c r="C36" s="18" t="str">
        <f t="shared" si="4"/>
        <v/>
      </c>
      <c r="D36" s="4" t="str">
        <f t="shared" si="17"/>
        <v/>
      </c>
      <c r="E36" s="4" t="str">
        <f t="shared" si="5"/>
        <v/>
      </c>
      <c r="F36" s="4" t="str">
        <f t="shared" si="6"/>
        <v/>
      </c>
      <c r="G36" s="4" t="str">
        <f t="shared" si="7"/>
        <v/>
      </c>
      <c r="H36" s="4"/>
      <c r="I36" s="4"/>
      <c r="J36" s="4"/>
      <c r="K36" s="4"/>
      <c r="L36" s="4" t="str">
        <f>IF(A36="","",IF(ISERROR(VLOOKUP(A36,'pagos anticipados'!$A$2:$B$5,2,FALSE)),0,VLOOKUP(A36,'pagos anticipados'!$A$2:B34,2,FALSE)))</f>
        <v/>
      </c>
      <c r="M36" s="4" t="str">
        <f t="shared" si="0"/>
        <v/>
      </c>
      <c r="N36" s="1">
        <f t="shared" si="1"/>
        <v>0</v>
      </c>
      <c r="Q36" s="44" t="str">
        <f t="shared" si="8"/>
        <v/>
      </c>
      <c r="R36" s="44" t="str">
        <f t="shared" si="18"/>
        <v/>
      </c>
      <c r="S36" s="44" t="str">
        <f t="shared" si="9"/>
        <v/>
      </c>
      <c r="U36" s="42" t="str">
        <f t="shared" si="19"/>
        <v/>
      </c>
      <c r="V36" s="41" t="str">
        <f t="shared" si="20"/>
        <v/>
      </c>
      <c r="W36" s="41" t="str">
        <f t="shared" si="10"/>
        <v/>
      </c>
      <c r="Y36" s="35" t="str">
        <f t="shared" si="11"/>
        <v/>
      </c>
      <c r="Z36" s="34" t="str">
        <f t="shared" si="21"/>
        <v/>
      </c>
      <c r="AA36" s="34" t="str">
        <f t="shared" si="2"/>
        <v/>
      </c>
      <c r="AC36" s="36" t="str">
        <f t="shared" si="12"/>
        <v/>
      </c>
      <c r="AE36" s="37">
        <f t="shared" si="13"/>
        <v>0</v>
      </c>
      <c r="AG36" s="56" t="str">
        <f t="shared" si="22"/>
        <v/>
      </c>
      <c r="AH36" s="57" t="str">
        <f t="shared" si="14"/>
        <v/>
      </c>
      <c r="AI36" s="57" t="str">
        <f t="shared" si="23"/>
        <v/>
      </c>
      <c r="AJ36" s="57" t="str">
        <f t="shared" si="15"/>
        <v/>
      </c>
      <c r="AK36" s="57" t="str">
        <f t="shared" si="24"/>
        <v/>
      </c>
    </row>
    <row r="37" spans="1:37">
      <c r="A37" s="2" t="str">
        <f t="shared" si="16"/>
        <v/>
      </c>
      <c r="B37" s="10" t="str">
        <f t="shared" si="3"/>
        <v/>
      </c>
      <c r="C37" s="18" t="str">
        <f t="shared" si="4"/>
        <v/>
      </c>
      <c r="D37" s="4" t="str">
        <f t="shared" si="17"/>
        <v/>
      </c>
      <c r="E37" s="4" t="str">
        <f t="shared" si="5"/>
        <v/>
      </c>
      <c r="F37" s="4" t="str">
        <f t="shared" si="6"/>
        <v/>
      </c>
      <c r="G37" s="4" t="str">
        <f t="shared" si="7"/>
        <v/>
      </c>
      <c r="H37" s="4"/>
      <c r="I37" s="4"/>
      <c r="J37" s="4"/>
      <c r="K37" s="4"/>
      <c r="L37" s="4" t="str">
        <f>IF(A37="","",IF(ISERROR(VLOOKUP(A37,'pagos anticipados'!$A$2:$B$5,2,FALSE)),0,VLOOKUP(A37,'pagos anticipados'!$A$2:B35,2,FALSE)))</f>
        <v/>
      </c>
      <c r="M37" s="4" t="str">
        <f t="shared" si="0"/>
        <v/>
      </c>
      <c r="N37" s="1">
        <f t="shared" si="1"/>
        <v>0</v>
      </c>
      <c r="Q37" s="44" t="str">
        <f t="shared" si="8"/>
        <v/>
      </c>
      <c r="R37" s="44" t="str">
        <f t="shared" si="18"/>
        <v/>
      </c>
      <c r="S37" s="44" t="str">
        <f t="shared" si="9"/>
        <v/>
      </c>
      <c r="U37" s="42" t="str">
        <f t="shared" si="19"/>
        <v/>
      </c>
      <c r="V37" s="41" t="str">
        <f t="shared" si="20"/>
        <v/>
      </c>
      <c r="W37" s="41" t="str">
        <f t="shared" si="10"/>
        <v/>
      </c>
      <c r="Y37" s="35" t="str">
        <f t="shared" si="11"/>
        <v/>
      </c>
      <c r="Z37" s="34" t="str">
        <f t="shared" si="21"/>
        <v/>
      </c>
      <c r="AA37" s="34" t="str">
        <f t="shared" si="2"/>
        <v/>
      </c>
      <c r="AC37" s="36" t="str">
        <f t="shared" si="12"/>
        <v/>
      </c>
      <c r="AE37" s="37">
        <f t="shared" si="13"/>
        <v>0</v>
      </c>
      <c r="AG37" s="56" t="str">
        <f t="shared" si="22"/>
        <v/>
      </c>
      <c r="AH37" s="57" t="str">
        <f t="shared" si="14"/>
        <v/>
      </c>
      <c r="AI37" s="57" t="str">
        <f t="shared" si="23"/>
        <v/>
      </c>
      <c r="AJ37" s="57" t="str">
        <f t="shared" si="15"/>
        <v/>
      </c>
      <c r="AK37" s="57" t="str">
        <f t="shared" si="24"/>
        <v/>
      </c>
    </row>
    <row r="38" spans="1:37">
      <c r="A38" s="2" t="str">
        <f t="shared" si="16"/>
        <v/>
      </c>
      <c r="B38" s="10" t="str">
        <f t="shared" si="3"/>
        <v/>
      </c>
      <c r="C38" s="18" t="str">
        <f t="shared" si="4"/>
        <v/>
      </c>
      <c r="D38" s="4" t="str">
        <f t="shared" si="17"/>
        <v/>
      </c>
      <c r="E38" s="4" t="str">
        <f t="shared" si="5"/>
        <v/>
      </c>
      <c r="F38" s="4" t="str">
        <f t="shared" si="6"/>
        <v/>
      </c>
      <c r="G38" s="4" t="str">
        <f t="shared" si="7"/>
        <v/>
      </c>
      <c r="H38" s="4"/>
      <c r="I38" s="4"/>
      <c r="J38" s="4"/>
      <c r="K38" s="4"/>
      <c r="L38" s="4" t="str">
        <f>IF(A38="","",IF(ISERROR(VLOOKUP(A38,'pagos anticipados'!$A$2:$B$5,2,FALSE)),0,VLOOKUP(A38,'pagos anticipados'!$A$2:B36,2,FALSE)))</f>
        <v/>
      </c>
      <c r="M38" s="4" t="str">
        <f t="shared" si="0"/>
        <v/>
      </c>
      <c r="N38" s="1">
        <f t="shared" si="1"/>
        <v>0</v>
      </c>
      <c r="Q38" s="44" t="str">
        <f t="shared" si="8"/>
        <v/>
      </c>
      <c r="R38" s="44" t="str">
        <f t="shared" si="18"/>
        <v/>
      </c>
      <c r="S38" s="44" t="str">
        <f t="shared" si="9"/>
        <v/>
      </c>
      <c r="U38" s="42" t="str">
        <f t="shared" si="19"/>
        <v/>
      </c>
      <c r="V38" s="41" t="str">
        <f t="shared" si="20"/>
        <v/>
      </c>
      <c r="W38" s="41" t="str">
        <f t="shared" si="10"/>
        <v/>
      </c>
      <c r="Y38" s="35" t="str">
        <f t="shared" si="11"/>
        <v/>
      </c>
      <c r="Z38" s="34" t="str">
        <f t="shared" si="21"/>
        <v/>
      </c>
      <c r="AA38" s="34" t="str">
        <f t="shared" si="2"/>
        <v/>
      </c>
      <c r="AC38" s="36" t="str">
        <f t="shared" si="12"/>
        <v/>
      </c>
      <c r="AE38" s="37">
        <f t="shared" si="13"/>
        <v>0</v>
      </c>
      <c r="AG38" s="56" t="str">
        <f t="shared" si="22"/>
        <v/>
      </c>
      <c r="AH38" s="57" t="str">
        <f t="shared" si="14"/>
        <v/>
      </c>
      <c r="AI38" s="57" t="str">
        <f t="shared" si="23"/>
        <v/>
      </c>
      <c r="AJ38" s="57" t="str">
        <f t="shared" si="15"/>
        <v/>
      </c>
      <c r="AK38" s="57" t="str">
        <f t="shared" si="24"/>
        <v/>
      </c>
    </row>
    <row r="39" spans="1:37">
      <c r="A39" s="2" t="str">
        <f t="shared" si="16"/>
        <v/>
      </c>
      <c r="B39" s="10" t="str">
        <f t="shared" si="3"/>
        <v/>
      </c>
      <c r="C39" s="18" t="str">
        <f t="shared" si="4"/>
        <v/>
      </c>
      <c r="D39" s="4" t="str">
        <f t="shared" si="17"/>
        <v/>
      </c>
      <c r="E39" s="4" t="str">
        <f t="shared" si="5"/>
        <v/>
      </c>
      <c r="F39" s="4" t="str">
        <f t="shared" si="6"/>
        <v/>
      </c>
      <c r="G39" s="4" t="str">
        <f t="shared" si="7"/>
        <v/>
      </c>
      <c r="H39" s="4"/>
      <c r="I39" s="4"/>
      <c r="J39" s="4"/>
      <c r="K39" s="4"/>
      <c r="L39" s="4" t="str">
        <f>IF(A39="","",IF(ISERROR(VLOOKUP(A39,'pagos anticipados'!$A$2:$B$5,2,FALSE)),0,VLOOKUP(A39,'pagos anticipados'!$A$2:B37,2,FALSE)))</f>
        <v/>
      </c>
      <c r="M39" s="4" t="str">
        <f t="shared" si="0"/>
        <v/>
      </c>
      <c r="N39" s="1">
        <f t="shared" si="1"/>
        <v>0</v>
      </c>
      <c r="Q39" s="44" t="str">
        <f t="shared" si="8"/>
        <v/>
      </c>
      <c r="R39" s="44" t="str">
        <f t="shared" si="18"/>
        <v/>
      </c>
      <c r="S39" s="44" t="str">
        <f t="shared" si="9"/>
        <v/>
      </c>
      <c r="U39" s="42" t="str">
        <f t="shared" si="19"/>
        <v/>
      </c>
      <c r="V39" s="41" t="str">
        <f t="shared" si="20"/>
        <v/>
      </c>
      <c r="W39" s="41" t="str">
        <f t="shared" si="10"/>
        <v/>
      </c>
      <c r="Y39" s="35" t="str">
        <f t="shared" si="11"/>
        <v/>
      </c>
      <c r="Z39" s="34" t="str">
        <f t="shared" si="21"/>
        <v/>
      </c>
      <c r="AA39" s="34" t="str">
        <f t="shared" si="2"/>
        <v/>
      </c>
      <c r="AC39" s="36" t="str">
        <f t="shared" si="12"/>
        <v/>
      </c>
      <c r="AE39" s="37">
        <f t="shared" si="13"/>
        <v>0</v>
      </c>
      <c r="AG39" s="56" t="str">
        <f t="shared" si="22"/>
        <v/>
      </c>
      <c r="AH39" s="57" t="str">
        <f t="shared" si="14"/>
        <v/>
      </c>
      <c r="AI39" s="57" t="str">
        <f t="shared" si="23"/>
        <v/>
      </c>
      <c r="AJ39" s="57" t="str">
        <f t="shared" si="15"/>
        <v/>
      </c>
      <c r="AK39" s="57" t="str">
        <f t="shared" si="24"/>
        <v/>
      </c>
    </row>
    <row r="40" spans="1:37">
      <c r="A40" s="2" t="str">
        <f t="shared" si="16"/>
        <v/>
      </c>
      <c r="B40" s="10" t="str">
        <f t="shared" si="3"/>
        <v/>
      </c>
      <c r="C40" s="18" t="str">
        <f t="shared" si="4"/>
        <v/>
      </c>
      <c r="D40" s="4" t="str">
        <f t="shared" si="17"/>
        <v/>
      </c>
      <c r="E40" s="4" t="str">
        <f t="shared" si="5"/>
        <v/>
      </c>
      <c r="F40" s="4" t="str">
        <f t="shared" si="6"/>
        <v/>
      </c>
      <c r="G40" s="4" t="str">
        <f t="shared" si="7"/>
        <v/>
      </c>
      <c r="H40" s="4"/>
      <c r="I40" s="4"/>
      <c r="J40" s="4"/>
      <c r="K40" s="4"/>
      <c r="L40" s="4" t="str">
        <f>IF(A40="","",IF(ISERROR(VLOOKUP(A40,'pagos anticipados'!$A$2:$B$5,2,FALSE)),0,VLOOKUP(A40,'pagos anticipados'!$A$2:B38,2,FALSE)))</f>
        <v/>
      </c>
      <c r="M40" s="4" t="str">
        <f t="shared" si="0"/>
        <v/>
      </c>
      <c r="N40" s="1">
        <f t="shared" si="1"/>
        <v>0</v>
      </c>
      <c r="Q40" s="44" t="str">
        <f t="shared" si="8"/>
        <v/>
      </c>
      <c r="R40" s="44" t="str">
        <f t="shared" si="18"/>
        <v/>
      </c>
      <c r="S40" s="44" t="str">
        <f t="shared" si="9"/>
        <v/>
      </c>
      <c r="U40" s="42" t="str">
        <f t="shared" si="19"/>
        <v/>
      </c>
      <c r="V40" s="41" t="str">
        <f t="shared" si="20"/>
        <v/>
      </c>
      <c r="W40" s="41" t="str">
        <f t="shared" si="10"/>
        <v/>
      </c>
      <c r="Y40" s="35" t="str">
        <f t="shared" si="11"/>
        <v/>
      </c>
      <c r="Z40" s="34" t="str">
        <f t="shared" si="21"/>
        <v/>
      </c>
      <c r="AA40" s="34" t="str">
        <f t="shared" si="2"/>
        <v/>
      </c>
      <c r="AC40" s="36" t="str">
        <f t="shared" si="12"/>
        <v/>
      </c>
      <c r="AE40" s="37">
        <f t="shared" si="13"/>
        <v>0</v>
      </c>
      <c r="AG40" s="56" t="str">
        <f t="shared" si="22"/>
        <v/>
      </c>
      <c r="AH40" s="57" t="str">
        <f t="shared" si="14"/>
        <v/>
      </c>
      <c r="AI40" s="57" t="str">
        <f t="shared" si="23"/>
        <v/>
      </c>
      <c r="AJ40" s="57" t="str">
        <f t="shared" si="15"/>
        <v/>
      </c>
      <c r="AK40" s="57" t="str">
        <f t="shared" si="24"/>
        <v/>
      </c>
    </row>
    <row r="41" spans="1:37">
      <c r="A41" s="2" t="str">
        <f t="shared" si="16"/>
        <v/>
      </c>
      <c r="B41" s="10" t="str">
        <f t="shared" si="3"/>
        <v/>
      </c>
      <c r="C41" s="18" t="str">
        <f t="shared" si="4"/>
        <v/>
      </c>
      <c r="D41" s="4" t="str">
        <f t="shared" si="17"/>
        <v/>
      </c>
      <c r="E41" s="4" t="str">
        <f t="shared" si="5"/>
        <v/>
      </c>
      <c r="F41" s="4" t="str">
        <f t="shared" si="6"/>
        <v/>
      </c>
      <c r="G41" s="4" t="str">
        <f t="shared" si="7"/>
        <v/>
      </c>
      <c r="H41" s="4"/>
      <c r="I41" s="4"/>
      <c r="J41" s="4"/>
      <c r="K41" s="4"/>
      <c r="L41" s="4" t="str">
        <f>IF(A41="","",IF(ISERROR(VLOOKUP(A41,'pagos anticipados'!$A$2:$B$5,2,FALSE)),0,VLOOKUP(A41,'pagos anticipados'!$A$2:B39,2,FALSE)))</f>
        <v/>
      </c>
      <c r="M41" s="4" t="str">
        <f t="shared" si="0"/>
        <v/>
      </c>
      <c r="N41" s="1">
        <f t="shared" si="1"/>
        <v>0</v>
      </c>
      <c r="Q41" s="44" t="str">
        <f t="shared" si="8"/>
        <v/>
      </c>
      <c r="R41" s="44" t="str">
        <f t="shared" si="18"/>
        <v/>
      </c>
      <c r="S41" s="44" t="str">
        <f t="shared" si="9"/>
        <v/>
      </c>
      <c r="U41" s="42" t="str">
        <f t="shared" si="19"/>
        <v/>
      </c>
      <c r="V41" s="41" t="str">
        <f t="shared" si="20"/>
        <v/>
      </c>
      <c r="W41" s="41" t="str">
        <f t="shared" si="10"/>
        <v/>
      </c>
      <c r="Y41" s="35" t="str">
        <f t="shared" si="11"/>
        <v/>
      </c>
      <c r="Z41" s="34" t="str">
        <f t="shared" si="21"/>
        <v/>
      </c>
      <c r="AA41" s="34" t="str">
        <f t="shared" si="2"/>
        <v/>
      </c>
      <c r="AC41" s="36" t="str">
        <f t="shared" si="12"/>
        <v/>
      </c>
      <c r="AE41" s="37">
        <f t="shared" si="13"/>
        <v>0</v>
      </c>
      <c r="AG41" s="56" t="str">
        <f t="shared" si="22"/>
        <v/>
      </c>
      <c r="AH41" s="57" t="str">
        <f t="shared" si="14"/>
        <v/>
      </c>
      <c r="AI41" s="57" t="str">
        <f t="shared" si="23"/>
        <v/>
      </c>
      <c r="AJ41" s="57" t="str">
        <f t="shared" si="15"/>
        <v/>
      </c>
      <c r="AK41" s="57" t="str">
        <f t="shared" si="24"/>
        <v/>
      </c>
    </row>
    <row r="42" spans="1:37">
      <c r="A42" s="2" t="str">
        <f t="shared" si="16"/>
        <v/>
      </c>
      <c r="B42" s="10" t="str">
        <f t="shared" si="3"/>
        <v/>
      </c>
      <c r="C42" s="18" t="str">
        <f t="shared" si="4"/>
        <v/>
      </c>
      <c r="D42" s="4" t="str">
        <f t="shared" si="17"/>
        <v/>
      </c>
      <c r="E42" s="4" t="str">
        <f t="shared" si="5"/>
        <v/>
      </c>
      <c r="F42" s="4" t="str">
        <f t="shared" si="6"/>
        <v/>
      </c>
      <c r="G42" s="4" t="str">
        <f t="shared" si="7"/>
        <v/>
      </c>
      <c r="H42" s="4"/>
      <c r="I42" s="4"/>
      <c r="J42" s="4"/>
      <c r="K42" s="4"/>
      <c r="L42" s="4" t="str">
        <f>IF(A42="","",IF(ISERROR(VLOOKUP(A42,'pagos anticipados'!$A$2:$B$5,2,FALSE)),0,VLOOKUP(A42,'pagos anticipados'!$A$2:B40,2,FALSE)))</f>
        <v/>
      </c>
      <c r="M42" s="4" t="str">
        <f t="shared" si="0"/>
        <v/>
      </c>
      <c r="N42" s="1">
        <f t="shared" si="1"/>
        <v>0</v>
      </c>
      <c r="Q42" s="44" t="str">
        <f t="shared" si="8"/>
        <v/>
      </c>
      <c r="R42" s="44" t="str">
        <f t="shared" si="18"/>
        <v/>
      </c>
      <c r="S42" s="44" t="str">
        <f t="shared" si="9"/>
        <v/>
      </c>
      <c r="U42" s="42" t="str">
        <f t="shared" si="19"/>
        <v/>
      </c>
      <c r="V42" s="41" t="str">
        <f t="shared" si="20"/>
        <v/>
      </c>
      <c r="W42" s="41" t="str">
        <f t="shared" si="10"/>
        <v/>
      </c>
      <c r="Y42" s="35" t="str">
        <f t="shared" si="11"/>
        <v/>
      </c>
      <c r="Z42" s="34" t="str">
        <f t="shared" si="21"/>
        <v/>
      </c>
      <c r="AA42" s="34" t="str">
        <f t="shared" si="2"/>
        <v/>
      </c>
      <c r="AC42" s="36" t="str">
        <f t="shared" si="12"/>
        <v/>
      </c>
      <c r="AE42" s="37">
        <f t="shared" si="13"/>
        <v>0</v>
      </c>
      <c r="AG42" s="56" t="str">
        <f t="shared" si="22"/>
        <v/>
      </c>
      <c r="AH42" s="57" t="str">
        <f t="shared" si="14"/>
        <v/>
      </c>
      <c r="AI42" s="57" t="str">
        <f t="shared" si="23"/>
        <v/>
      </c>
      <c r="AJ42" s="57" t="str">
        <f t="shared" si="15"/>
        <v/>
      </c>
      <c r="AK42" s="57" t="str">
        <f t="shared" si="24"/>
        <v/>
      </c>
    </row>
    <row r="43" spans="1:37">
      <c r="A43" s="2" t="str">
        <f t="shared" si="16"/>
        <v/>
      </c>
      <c r="B43" s="10" t="str">
        <f t="shared" si="3"/>
        <v/>
      </c>
      <c r="C43" s="18" t="str">
        <f t="shared" si="4"/>
        <v/>
      </c>
      <c r="D43" s="4" t="str">
        <f t="shared" si="17"/>
        <v/>
      </c>
      <c r="E43" s="4" t="str">
        <f t="shared" si="5"/>
        <v/>
      </c>
      <c r="F43" s="4" t="str">
        <f t="shared" si="6"/>
        <v/>
      </c>
      <c r="G43" s="4" t="str">
        <f t="shared" si="7"/>
        <v/>
      </c>
      <c r="H43" s="4"/>
      <c r="I43" s="4"/>
      <c r="J43" s="4"/>
      <c r="K43" s="4"/>
      <c r="L43" s="4" t="str">
        <f>IF(A43="","",IF(ISERROR(VLOOKUP(A43,'pagos anticipados'!$A$2:$B$5,2,FALSE)),0,VLOOKUP(A43,'pagos anticipados'!$A$2:B41,2,FALSE)))</f>
        <v/>
      </c>
      <c r="M43" s="4" t="str">
        <f t="shared" si="0"/>
        <v/>
      </c>
      <c r="N43" s="1">
        <f t="shared" si="1"/>
        <v>0</v>
      </c>
      <c r="Q43" s="44" t="str">
        <f t="shared" si="8"/>
        <v/>
      </c>
      <c r="R43" s="44" t="str">
        <f t="shared" si="18"/>
        <v/>
      </c>
      <c r="S43" s="44" t="str">
        <f t="shared" si="9"/>
        <v/>
      </c>
      <c r="U43" s="42" t="str">
        <f t="shared" si="19"/>
        <v/>
      </c>
      <c r="V43" s="41" t="str">
        <f t="shared" si="20"/>
        <v/>
      </c>
      <c r="W43" s="41" t="str">
        <f t="shared" si="10"/>
        <v/>
      </c>
      <c r="Y43" s="35" t="str">
        <f t="shared" si="11"/>
        <v/>
      </c>
      <c r="Z43" s="34" t="str">
        <f t="shared" si="21"/>
        <v/>
      </c>
      <c r="AA43" s="34" t="str">
        <f t="shared" si="2"/>
        <v/>
      </c>
      <c r="AC43" s="36" t="str">
        <f t="shared" si="12"/>
        <v/>
      </c>
      <c r="AE43" s="37">
        <f t="shared" si="13"/>
        <v>0</v>
      </c>
      <c r="AG43" s="56" t="str">
        <f t="shared" si="22"/>
        <v/>
      </c>
      <c r="AH43" s="57" t="str">
        <f t="shared" si="14"/>
        <v/>
      </c>
      <c r="AI43" s="57" t="str">
        <f t="shared" si="23"/>
        <v/>
      </c>
      <c r="AJ43" s="57" t="str">
        <f t="shared" si="15"/>
        <v/>
      </c>
      <c r="AK43" s="57" t="str">
        <f t="shared" si="24"/>
        <v/>
      </c>
    </row>
    <row r="44" spans="1:37">
      <c r="A44" s="2" t="str">
        <f t="shared" si="16"/>
        <v/>
      </c>
      <c r="B44" s="10" t="str">
        <f t="shared" si="3"/>
        <v/>
      </c>
      <c r="C44" s="18" t="str">
        <f t="shared" si="4"/>
        <v/>
      </c>
      <c r="D44" s="4" t="str">
        <f t="shared" si="17"/>
        <v/>
      </c>
      <c r="E44" s="4" t="str">
        <f t="shared" si="5"/>
        <v/>
      </c>
      <c r="F44" s="4" t="str">
        <f t="shared" si="6"/>
        <v/>
      </c>
      <c r="G44" s="4" t="str">
        <f t="shared" si="7"/>
        <v/>
      </c>
      <c r="H44" s="4"/>
      <c r="I44" s="4"/>
      <c r="J44" s="4"/>
      <c r="K44" s="4"/>
      <c r="L44" s="4" t="str">
        <f>IF(A44="","",IF(ISERROR(VLOOKUP(A44,'pagos anticipados'!$A$2:$B$5,2,FALSE)),0,VLOOKUP(A44,'pagos anticipados'!$A$2:B42,2,FALSE)))</f>
        <v/>
      </c>
      <c r="M44" s="4" t="str">
        <f t="shared" si="0"/>
        <v/>
      </c>
      <c r="N44" s="1">
        <f t="shared" si="1"/>
        <v>0</v>
      </c>
      <c r="Q44" s="44" t="str">
        <f t="shared" si="8"/>
        <v/>
      </c>
      <c r="R44" s="44" t="str">
        <f t="shared" si="18"/>
        <v/>
      </c>
      <c r="S44" s="44" t="str">
        <f t="shared" si="9"/>
        <v/>
      </c>
      <c r="U44" s="42" t="str">
        <f t="shared" si="19"/>
        <v/>
      </c>
      <c r="V44" s="41" t="str">
        <f t="shared" si="20"/>
        <v/>
      </c>
      <c r="W44" s="41" t="str">
        <f t="shared" si="10"/>
        <v/>
      </c>
      <c r="Y44" s="35" t="str">
        <f t="shared" si="11"/>
        <v/>
      </c>
      <c r="Z44" s="34" t="str">
        <f t="shared" si="21"/>
        <v/>
      </c>
      <c r="AA44" s="34" t="str">
        <f t="shared" si="2"/>
        <v/>
      </c>
      <c r="AC44" s="36" t="str">
        <f t="shared" si="12"/>
        <v/>
      </c>
      <c r="AE44" s="37">
        <f t="shared" si="13"/>
        <v>0</v>
      </c>
      <c r="AG44" s="56" t="str">
        <f t="shared" si="22"/>
        <v/>
      </c>
      <c r="AH44" s="57" t="str">
        <f t="shared" si="14"/>
        <v/>
      </c>
      <c r="AI44" s="57" t="str">
        <f t="shared" si="23"/>
        <v/>
      </c>
      <c r="AJ44" s="57" t="str">
        <f t="shared" si="15"/>
        <v/>
      </c>
      <c r="AK44" s="57" t="str">
        <f t="shared" si="24"/>
        <v/>
      </c>
    </row>
    <row r="45" spans="1:37">
      <c r="A45" s="2" t="str">
        <f t="shared" si="16"/>
        <v/>
      </c>
      <c r="B45" s="10" t="str">
        <f t="shared" si="3"/>
        <v/>
      </c>
      <c r="C45" s="18" t="str">
        <f t="shared" si="4"/>
        <v/>
      </c>
      <c r="D45" s="4" t="str">
        <f t="shared" si="17"/>
        <v/>
      </c>
      <c r="E45" s="4" t="str">
        <f t="shared" si="5"/>
        <v/>
      </c>
      <c r="F45" s="4" t="str">
        <f t="shared" si="6"/>
        <v/>
      </c>
      <c r="G45" s="4" t="str">
        <f t="shared" si="7"/>
        <v/>
      </c>
      <c r="H45" s="4"/>
      <c r="I45" s="4"/>
      <c r="J45" s="4"/>
      <c r="K45" s="4"/>
      <c r="L45" s="4" t="str">
        <f>IF(A45="","",IF(ISERROR(VLOOKUP(A45,'pagos anticipados'!$A$2:$B$5,2,FALSE)),0,VLOOKUP(A45,'pagos anticipados'!$A$2:B43,2,FALSE)))</f>
        <v/>
      </c>
      <c r="M45" s="4" t="str">
        <f t="shared" si="0"/>
        <v/>
      </c>
      <c r="N45" s="1">
        <f t="shared" si="1"/>
        <v>0</v>
      </c>
      <c r="Q45" s="44" t="str">
        <f t="shared" si="8"/>
        <v/>
      </c>
      <c r="R45" s="44" t="str">
        <f t="shared" si="18"/>
        <v/>
      </c>
      <c r="S45" s="44" t="str">
        <f t="shared" si="9"/>
        <v/>
      </c>
      <c r="U45" s="42" t="str">
        <f t="shared" si="19"/>
        <v/>
      </c>
      <c r="V45" s="41" t="str">
        <f t="shared" si="20"/>
        <v/>
      </c>
      <c r="W45" s="41" t="str">
        <f t="shared" si="10"/>
        <v/>
      </c>
      <c r="Y45" s="35" t="str">
        <f t="shared" si="11"/>
        <v/>
      </c>
      <c r="Z45" s="34" t="str">
        <f t="shared" si="21"/>
        <v/>
      </c>
      <c r="AA45" s="34" t="str">
        <f t="shared" si="2"/>
        <v/>
      </c>
      <c r="AC45" s="36" t="str">
        <f t="shared" si="12"/>
        <v/>
      </c>
      <c r="AE45" s="37">
        <f t="shared" si="13"/>
        <v>0</v>
      </c>
      <c r="AG45" s="56" t="str">
        <f t="shared" si="22"/>
        <v/>
      </c>
      <c r="AH45" s="57" t="str">
        <f t="shared" si="14"/>
        <v/>
      </c>
      <c r="AI45" s="57" t="str">
        <f t="shared" si="23"/>
        <v/>
      </c>
      <c r="AJ45" s="57" t="str">
        <f t="shared" si="15"/>
        <v/>
      </c>
      <c r="AK45" s="57" t="str">
        <f t="shared" si="24"/>
        <v/>
      </c>
    </row>
    <row r="46" spans="1:37">
      <c r="A46" s="2" t="str">
        <f t="shared" si="16"/>
        <v/>
      </c>
      <c r="B46" s="10" t="str">
        <f t="shared" si="3"/>
        <v/>
      </c>
      <c r="C46" s="18" t="str">
        <f t="shared" si="4"/>
        <v/>
      </c>
      <c r="D46" s="4" t="str">
        <f t="shared" si="17"/>
        <v/>
      </c>
      <c r="E46" s="4" t="str">
        <f t="shared" si="5"/>
        <v/>
      </c>
      <c r="F46" s="4" t="str">
        <f t="shared" si="6"/>
        <v/>
      </c>
      <c r="G46" s="4" t="str">
        <f t="shared" si="7"/>
        <v/>
      </c>
      <c r="H46" s="4"/>
      <c r="I46" s="4"/>
      <c r="J46" s="4"/>
      <c r="K46" s="4"/>
      <c r="L46" s="4" t="str">
        <f>IF(A46="","",IF(ISERROR(VLOOKUP(A46,'pagos anticipados'!$A$2:$B$5,2,FALSE)),0,VLOOKUP(A46,'pagos anticipados'!$A$2:B44,2,FALSE)))</f>
        <v/>
      </c>
      <c r="M46" s="4" t="str">
        <f t="shared" si="0"/>
        <v/>
      </c>
      <c r="N46" s="1">
        <f t="shared" si="1"/>
        <v>0</v>
      </c>
      <c r="Q46" s="44" t="str">
        <f t="shared" si="8"/>
        <v/>
      </c>
      <c r="R46" s="44" t="str">
        <f t="shared" si="18"/>
        <v/>
      </c>
      <c r="S46" s="44" t="str">
        <f t="shared" si="9"/>
        <v/>
      </c>
      <c r="U46" s="42" t="str">
        <f t="shared" si="19"/>
        <v/>
      </c>
      <c r="V46" s="41" t="str">
        <f t="shared" si="20"/>
        <v/>
      </c>
      <c r="W46" s="41" t="str">
        <f t="shared" si="10"/>
        <v/>
      </c>
      <c r="Y46" s="35" t="str">
        <f t="shared" si="11"/>
        <v/>
      </c>
      <c r="Z46" s="34" t="str">
        <f t="shared" si="21"/>
        <v/>
      </c>
      <c r="AA46" s="34" t="str">
        <f t="shared" si="2"/>
        <v/>
      </c>
      <c r="AC46" s="36" t="str">
        <f t="shared" si="12"/>
        <v/>
      </c>
      <c r="AE46" s="37">
        <f t="shared" si="13"/>
        <v>0</v>
      </c>
      <c r="AG46" s="56" t="str">
        <f t="shared" si="22"/>
        <v/>
      </c>
      <c r="AH46" s="57" t="str">
        <f t="shared" si="14"/>
        <v/>
      </c>
      <c r="AI46" s="57" t="str">
        <f t="shared" si="23"/>
        <v/>
      </c>
      <c r="AJ46" s="57" t="str">
        <f t="shared" si="15"/>
        <v/>
      </c>
      <c r="AK46" s="57" t="str">
        <f t="shared" si="24"/>
        <v/>
      </c>
    </row>
    <row r="47" spans="1:37">
      <c r="A47" s="2" t="str">
        <f t="shared" si="16"/>
        <v/>
      </c>
      <c r="B47" s="10" t="str">
        <f t="shared" si="3"/>
        <v/>
      </c>
      <c r="C47" s="18" t="str">
        <f t="shared" si="4"/>
        <v/>
      </c>
      <c r="D47" s="4" t="str">
        <f t="shared" si="17"/>
        <v/>
      </c>
      <c r="E47" s="4" t="str">
        <f t="shared" si="5"/>
        <v/>
      </c>
      <c r="F47" s="4" t="str">
        <f t="shared" si="6"/>
        <v/>
      </c>
      <c r="G47" s="4" t="str">
        <f t="shared" si="7"/>
        <v/>
      </c>
      <c r="H47" s="4"/>
      <c r="I47" s="4"/>
      <c r="J47" s="4"/>
      <c r="K47" s="4"/>
      <c r="L47" s="4" t="str">
        <f>IF(A47="","",IF(ISERROR(VLOOKUP(A47,'pagos anticipados'!$A$2:$B$5,2,FALSE)),0,VLOOKUP(A47,'pagos anticipados'!$A$2:B45,2,FALSE)))</f>
        <v/>
      </c>
      <c r="M47" s="4" t="str">
        <f t="shared" si="0"/>
        <v/>
      </c>
      <c r="N47" s="1">
        <f t="shared" si="1"/>
        <v>0</v>
      </c>
      <c r="Q47" s="44" t="str">
        <f t="shared" si="8"/>
        <v/>
      </c>
      <c r="R47" s="44" t="str">
        <f t="shared" si="18"/>
        <v/>
      </c>
      <c r="S47" s="44" t="str">
        <f t="shared" si="9"/>
        <v/>
      </c>
      <c r="U47" s="42" t="str">
        <f t="shared" si="19"/>
        <v/>
      </c>
      <c r="V47" s="41" t="str">
        <f t="shared" si="20"/>
        <v/>
      </c>
      <c r="W47" s="41" t="str">
        <f t="shared" si="10"/>
        <v/>
      </c>
      <c r="Y47" s="35" t="str">
        <f t="shared" si="11"/>
        <v/>
      </c>
      <c r="Z47" s="34" t="str">
        <f t="shared" si="21"/>
        <v/>
      </c>
      <c r="AA47" s="34" t="str">
        <f t="shared" si="2"/>
        <v/>
      </c>
      <c r="AC47" s="36" t="str">
        <f t="shared" si="12"/>
        <v/>
      </c>
      <c r="AE47" s="37">
        <f t="shared" si="13"/>
        <v>0</v>
      </c>
      <c r="AG47" s="56" t="str">
        <f t="shared" si="22"/>
        <v/>
      </c>
      <c r="AH47" s="57" t="str">
        <f t="shared" si="14"/>
        <v/>
      </c>
      <c r="AI47" s="57" t="str">
        <f t="shared" si="23"/>
        <v/>
      </c>
      <c r="AJ47" s="57" t="str">
        <f t="shared" si="15"/>
        <v/>
      </c>
      <c r="AK47" s="57" t="str">
        <f t="shared" si="24"/>
        <v/>
      </c>
    </row>
    <row r="48" spans="1:37">
      <c r="A48" s="2" t="str">
        <f t="shared" si="16"/>
        <v/>
      </c>
      <c r="B48" s="10" t="str">
        <f t="shared" si="3"/>
        <v/>
      </c>
      <c r="C48" s="18" t="str">
        <f t="shared" si="4"/>
        <v/>
      </c>
      <c r="D48" s="4" t="str">
        <f t="shared" si="17"/>
        <v/>
      </c>
      <c r="E48" s="4" t="str">
        <f t="shared" si="5"/>
        <v/>
      </c>
      <c r="F48" s="4" t="str">
        <f t="shared" si="6"/>
        <v/>
      </c>
      <c r="G48" s="4" t="str">
        <f t="shared" si="7"/>
        <v/>
      </c>
      <c r="H48" s="4"/>
      <c r="I48" s="4"/>
      <c r="J48" s="4"/>
      <c r="K48" s="4"/>
      <c r="L48" s="4" t="str">
        <f>IF(A48="","",IF(ISERROR(VLOOKUP(A48,'pagos anticipados'!$A$2:$B$5,2,FALSE)),0,VLOOKUP(A48,'pagos anticipados'!$A$2:B46,2,FALSE)))</f>
        <v/>
      </c>
      <c r="M48" s="4" t="str">
        <f t="shared" si="0"/>
        <v/>
      </c>
      <c r="N48" s="1">
        <f t="shared" si="1"/>
        <v>0</v>
      </c>
      <c r="Q48" s="44" t="str">
        <f t="shared" si="8"/>
        <v/>
      </c>
      <c r="R48" s="44" t="str">
        <f t="shared" si="18"/>
        <v/>
      </c>
      <c r="S48" s="44" t="str">
        <f t="shared" si="9"/>
        <v/>
      </c>
      <c r="U48" s="42" t="str">
        <f t="shared" si="19"/>
        <v/>
      </c>
      <c r="V48" s="41" t="str">
        <f t="shared" si="20"/>
        <v/>
      </c>
      <c r="W48" s="41" t="str">
        <f t="shared" si="10"/>
        <v/>
      </c>
      <c r="Y48" s="35" t="str">
        <f t="shared" si="11"/>
        <v/>
      </c>
      <c r="Z48" s="34" t="str">
        <f t="shared" si="21"/>
        <v/>
      </c>
      <c r="AA48" s="34" t="str">
        <f t="shared" si="2"/>
        <v/>
      </c>
      <c r="AC48" s="36" t="str">
        <f t="shared" si="12"/>
        <v/>
      </c>
      <c r="AE48" s="37">
        <f t="shared" si="13"/>
        <v>0</v>
      </c>
      <c r="AG48" s="56" t="str">
        <f t="shared" si="22"/>
        <v/>
      </c>
      <c r="AH48" s="57" t="str">
        <f t="shared" si="14"/>
        <v/>
      </c>
      <c r="AI48" s="57" t="str">
        <f t="shared" si="23"/>
        <v/>
      </c>
      <c r="AJ48" s="57" t="str">
        <f t="shared" si="15"/>
        <v/>
      </c>
      <c r="AK48" s="57" t="str">
        <f t="shared" si="24"/>
        <v/>
      </c>
    </row>
    <row r="49" spans="1:37">
      <c r="A49" s="2" t="str">
        <f t="shared" si="16"/>
        <v/>
      </c>
      <c r="B49" s="10" t="str">
        <f t="shared" si="3"/>
        <v/>
      </c>
      <c r="C49" s="18" t="str">
        <f t="shared" si="4"/>
        <v/>
      </c>
      <c r="D49" s="4" t="str">
        <f t="shared" si="17"/>
        <v/>
      </c>
      <c r="E49" s="4" t="str">
        <f t="shared" si="5"/>
        <v/>
      </c>
      <c r="F49" s="4" t="str">
        <f t="shared" si="6"/>
        <v/>
      </c>
      <c r="G49" s="4" t="str">
        <f t="shared" si="7"/>
        <v/>
      </c>
      <c r="H49" s="4"/>
      <c r="I49" s="4"/>
      <c r="J49" s="4"/>
      <c r="K49" s="4"/>
      <c r="L49" s="4" t="str">
        <f>IF(A49="","",IF(ISERROR(VLOOKUP(A49,'pagos anticipados'!$A$2:$B$5,2,FALSE)),0,VLOOKUP(A49,'pagos anticipados'!$A$2:B47,2,FALSE)))</f>
        <v/>
      </c>
      <c r="M49" s="4" t="str">
        <f t="shared" si="0"/>
        <v/>
      </c>
      <c r="N49" s="1">
        <f t="shared" si="1"/>
        <v>0</v>
      </c>
      <c r="Q49" s="44" t="str">
        <f t="shared" si="8"/>
        <v/>
      </c>
      <c r="R49" s="44" t="str">
        <f t="shared" si="18"/>
        <v/>
      </c>
      <c r="S49" s="44" t="str">
        <f t="shared" si="9"/>
        <v/>
      </c>
      <c r="U49" s="42" t="str">
        <f t="shared" si="19"/>
        <v/>
      </c>
      <c r="V49" s="41" t="str">
        <f t="shared" si="20"/>
        <v/>
      </c>
      <c r="W49" s="41" t="str">
        <f t="shared" si="10"/>
        <v/>
      </c>
      <c r="Y49" s="35" t="str">
        <f t="shared" si="11"/>
        <v/>
      </c>
      <c r="Z49" s="34" t="str">
        <f t="shared" si="21"/>
        <v/>
      </c>
      <c r="AA49" s="34" t="str">
        <f t="shared" si="2"/>
        <v/>
      </c>
      <c r="AC49" s="36" t="str">
        <f t="shared" si="12"/>
        <v/>
      </c>
      <c r="AE49" s="37">
        <f t="shared" si="13"/>
        <v>0</v>
      </c>
      <c r="AG49" s="56" t="str">
        <f t="shared" si="22"/>
        <v/>
      </c>
      <c r="AH49" s="57" t="str">
        <f t="shared" si="14"/>
        <v/>
      </c>
      <c r="AI49" s="57" t="str">
        <f t="shared" si="23"/>
        <v/>
      </c>
      <c r="AJ49" s="57" t="str">
        <f t="shared" si="15"/>
        <v/>
      </c>
      <c r="AK49" s="57" t="str">
        <f t="shared" si="24"/>
        <v/>
      </c>
    </row>
    <row r="50" spans="1:37">
      <c r="A50" s="2" t="str">
        <f t="shared" si="16"/>
        <v/>
      </c>
      <c r="B50" s="10" t="str">
        <f t="shared" si="3"/>
        <v/>
      </c>
      <c r="C50" s="18" t="str">
        <f t="shared" si="4"/>
        <v/>
      </c>
      <c r="D50" s="4" t="str">
        <f t="shared" si="17"/>
        <v/>
      </c>
      <c r="E50" s="4" t="str">
        <f t="shared" si="5"/>
        <v/>
      </c>
      <c r="F50" s="4" t="str">
        <f t="shared" si="6"/>
        <v/>
      </c>
      <c r="G50" s="4" t="str">
        <f t="shared" si="7"/>
        <v/>
      </c>
      <c r="H50" s="4"/>
      <c r="I50" s="4"/>
      <c r="J50" s="4"/>
      <c r="K50" s="4"/>
      <c r="L50" s="4" t="str">
        <f>IF(A50="","",IF(ISERROR(VLOOKUP(A50,'pagos anticipados'!$A$2:$B$5,2,FALSE)),0,VLOOKUP(A50,'pagos anticipados'!$A$2:B48,2,FALSE)))</f>
        <v/>
      </c>
      <c r="M50" s="4" t="str">
        <f t="shared" si="0"/>
        <v/>
      </c>
      <c r="N50" s="1">
        <f t="shared" si="1"/>
        <v>0</v>
      </c>
      <c r="Q50" s="44" t="str">
        <f t="shared" si="8"/>
        <v/>
      </c>
      <c r="R50" s="44" t="str">
        <f t="shared" si="18"/>
        <v/>
      </c>
      <c r="S50" s="44" t="str">
        <f t="shared" si="9"/>
        <v/>
      </c>
      <c r="U50" s="42" t="str">
        <f t="shared" si="19"/>
        <v/>
      </c>
      <c r="V50" s="41" t="str">
        <f t="shared" si="20"/>
        <v/>
      </c>
      <c r="W50" s="41" t="str">
        <f t="shared" si="10"/>
        <v/>
      </c>
      <c r="Y50" s="35" t="str">
        <f t="shared" si="11"/>
        <v/>
      </c>
      <c r="Z50" s="34" t="str">
        <f t="shared" si="21"/>
        <v/>
      </c>
      <c r="AA50" s="34" t="str">
        <f t="shared" si="2"/>
        <v/>
      </c>
      <c r="AC50" s="36" t="str">
        <f t="shared" si="12"/>
        <v/>
      </c>
      <c r="AE50" s="37">
        <f t="shared" si="13"/>
        <v>0</v>
      </c>
      <c r="AG50" s="56" t="str">
        <f t="shared" si="22"/>
        <v/>
      </c>
      <c r="AH50" s="57" t="str">
        <f t="shared" si="14"/>
        <v/>
      </c>
      <c r="AI50" s="57" t="str">
        <f t="shared" si="23"/>
        <v/>
      </c>
      <c r="AJ50" s="57" t="str">
        <f t="shared" si="15"/>
        <v/>
      </c>
      <c r="AK50" s="57" t="str">
        <f t="shared" si="24"/>
        <v/>
      </c>
    </row>
    <row r="51" spans="1:37">
      <c r="A51" s="2" t="str">
        <f t="shared" si="16"/>
        <v/>
      </c>
      <c r="B51" s="10" t="str">
        <f t="shared" si="3"/>
        <v/>
      </c>
      <c r="C51" s="18" t="str">
        <f t="shared" si="4"/>
        <v/>
      </c>
      <c r="D51" s="4" t="str">
        <f t="shared" si="17"/>
        <v/>
      </c>
      <c r="E51" s="4" t="str">
        <f t="shared" si="5"/>
        <v/>
      </c>
      <c r="F51" s="4" t="str">
        <f t="shared" si="6"/>
        <v/>
      </c>
      <c r="G51" s="4" t="str">
        <f t="shared" si="7"/>
        <v/>
      </c>
      <c r="H51" s="4"/>
      <c r="I51" s="4"/>
      <c r="J51" s="4"/>
      <c r="K51" s="4"/>
      <c r="L51" s="4" t="str">
        <f>IF(A51="","",IF(ISERROR(VLOOKUP(A51,'pagos anticipados'!$A$2:$B$5,2,FALSE)),0,VLOOKUP(A51,'pagos anticipados'!$A$2:B49,2,FALSE)))</f>
        <v/>
      </c>
      <c r="M51" s="4" t="str">
        <f t="shared" si="0"/>
        <v/>
      </c>
      <c r="N51" s="1">
        <f t="shared" si="1"/>
        <v>0</v>
      </c>
      <c r="Q51" s="44" t="str">
        <f t="shared" si="8"/>
        <v/>
      </c>
      <c r="R51" s="44" t="str">
        <f t="shared" si="18"/>
        <v/>
      </c>
      <c r="S51" s="44" t="str">
        <f t="shared" si="9"/>
        <v/>
      </c>
      <c r="U51" s="42" t="str">
        <f t="shared" si="19"/>
        <v/>
      </c>
      <c r="V51" s="41" t="str">
        <f t="shared" si="20"/>
        <v/>
      </c>
      <c r="W51" s="41" t="str">
        <f t="shared" si="10"/>
        <v/>
      </c>
      <c r="Y51" s="35" t="str">
        <f t="shared" si="11"/>
        <v/>
      </c>
      <c r="Z51" s="34" t="str">
        <f t="shared" si="21"/>
        <v/>
      </c>
      <c r="AA51" s="34" t="str">
        <f t="shared" si="2"/>
        <v/>
      </c>
      <c r="AC51" s="36" t="str">
        <f t="shared" si="12"/>
        <v/>
      </c>
      <c r="AE51" s="37">
        <f t="shared" si="13"/>
        <v>0</v>
      </c>
      <c r="AG51" s="56" t="str">
        <f t="shared" si="22"/>
        <v/>
      </c>
      <c r="AH51" s="57" t="str">
        <f t="shared" si="14"/>
        <v/>
      </c>
      <c r="AI51" s="57" t="str">
        <f t="shared" si="23"/>
        <v/>
      </c>
      <c r="AJ51" s="57" t="str">
        <f t="shared" si="15"/>
        <v/>
      </c>
      <c r="AK51" s="57" t="str">
        <f t="shared" si="24"/>
        <v/>
      </c>
    </row>
    <row r="52" spans="1:37">
      <c r="A52" s="2" t="str">
        <f t="shared" si="16"/>
        <v/>
      </c>
      <c r="B52" s="10" t="str">
        <f t="shared" si="3"/>
        <v/>
      </c>
      <c r="C52" s="18" t="str">
        <f t="shared" si="4"/>
        <v/>
      </c>
      <c r="D52" s="4" t="str">
        <f t="shared" si="17"/>
        <v/>
      </c>
      <c r="E52" s="4" t="str">
        <f t="shared" si="5"/>
        <v/>
      </c>
      <c r="F52" s="4" t="str">
        <f t="shared" si="6"/>
        <v/>
      </c>
      <c r="G52" s="4" t="str">
        <f t="shared" si="7"/>
        <v/>
      </c>
      <c r="H52" s="4"/>
      <c r="I52" s="4"/>
      <c r="J52" s="4"/>
      <c r="K52" s="4"/>
      <c r="L52" s="4" t="str">
        <f>IF(A52="","",IF(ISERROR(VLOOKUP(A52,'pagos anticipados'!$A$2:$B$5,2,FALSE)),0,VLOOKUP(A52,'pagos anticipados'!$A$2:B50,2,FALSE)))</f>
        <v/>
      </c>
      <c r="M52" s="4" t="str">
        <f t="shared" si="0"/>
        <v/>
      </c>
      <c r="N52" s="1">
        <f t="shared" si="1"/>
        <v>0</v>
      </c>
      <c r="Q52" s="44" t="str">
        <f t="shared" si="8"/>
        <v/>
      </c>
      <c r="R52" s="44" t="str">
        <f t="shared" si="18"/>
        <v/>
      </c>
      <c r="S52" s="44" t="str">
        <f t="shared" si="9"/>
        <v/>
      </c>
      <c r="U52" s="42" t="str">
        <f t="shared" si="19"/>
        <v/>
      </c>
      <c r="V52" s="41" t="str">
        <f t="shared" si="20"/>
        <v/>
      </c>
      <c r="W52" s="41" t="str">
        <f t="shared" si="10"/>
        <v/>
      </c>
      <c r="Y52" s="35" t="str">
        <f t="shared" si="11"/>
        <v/>
      </c>
      <c r="Z52" s="34" t="str">
        <f t="shared" si="21"/>
        <v/>
      </c>
      <c r="AA52" s="34" t="str">
        <f t="shared" si="2"/>
        <v/>
      </c>
      <c r="AC52" s="36" t="str">
        <f t="shared" si="12"/>
        <v/>
      </c>
      <c r="AE52" s="37">
        <f t="shared" si="13"/>
        <v>0</v>
      </c>
      <c r="AG52" s="56" t="str">
        <f t="shared" si="22"/>
        <v/>
      </c>
      <c r="AH52" s="57" t="str">
        <f t="shared" si="14"/>
        <v/>
      </c>
      <c r="AI52" s="57" t="str">
        <f t="shared" si="23"/>
        <v/>
      </c>
      <c r="AJ52" s="57" t="str">
        <f t="shared" si="15"/>
        <v/>
      </c>
      <c r="AK52" s="57" t="str">
        <f t="shared" si="24"/>
        <v/>
      </c>
    </row>
    <row r="53" spans="1:37">
      <c r="A53" s="2" t="str">
        <f t="shared" si="16"/>
        <v/>
      </c>
      <c r="B53" s="10" t="str">
        <f t="shared" si="3"/>
        <v/>
      </c>
      <c r="C53" s="18" t="str">
        <f t="shared" si="4"/>
        <v/>
      </c>
      <c r="D53" s="4" t="str">
        <f t="shared" si="17"/>
        <v/>
      </c>
      <c r="E53" s="4" t="str">
        <f t="shared" si="5"/>
        <v/>
      </c>
      <c r="F53" s="4" t="str">
        <f t="shared" si="6"/>
        <v/>
      </c>
      <c r="G53" s="4" t="str">
        <f t="shared" si="7"/>
        <v/>
      </c>
      <c r="H53" s="4"/>
      <c r="I53" s="4"/>
      <c r="J53" s="4"/>
      <c r="K53" s="4"/>
      <c r="L53" s="4" t="str">
        <f>IF(A53="","",IF(ISERROR(VLOOKUP(A53,'pagos anticipados'!$A$2:$B$5,2,FALSE)),0,VLOOKUP(A53,'pagos anticipados'!$A$2:B51,2,FALSE)))</f>
        <v/>
      </c>
      <c r="M53" s="4" t="str">
        <f t="shared" si="0"/>
        <v/>
      </c>
      <c r="N53" s="1">
        <f t="shared" si="1"/>
        <v>0</v>
      </c>
      <c r="Q53" s="44" t="str">
        <f t="shared" si="8"/>
        <v/>
      </c>
      <c r="R53" s="44" t="str">
        <f t="shared" si="18"/>
        <v/>
      </c>
      <c r="S53" s="44" t="str">
        <f t="shared" si="9"/>
        <v/>
      </c>
      <c r="U53" s="42" t="str">
        <f t="shared" si="19"/>
        <v/>
      </c>
      <c r="V53" s="41" t="str">
        <f t="shared" si="20"/>
        <v/>
      </c>
      <c r="W53" s="41" t="str">
        <f t="shared" si="10"/>
        <v/>
      </c>
      <c r="Y53" s="35" t="str">
        <f t="shared" si="11"/>
        <v/>
      </c>
      <c r="Z53" s="34" t="str">
        <f t="shared" si="21"/>
        <v/>
      </c>
      <c r="AA53" s="34" t="str">
        <f t="shared" si="2"/>
        <v/>
      </c>
      <c r="AC53" s="36" t="str">
        <f t="shared" si="12"/>
        <v/>
      </c>
      <c r="AE53" s="37">
        <f t="shared" si="13"/>
        <v>0</v>
      </c>
      <c r="AG53" s="56" t="str">
        <f t="shared" si="22"/>
        <v/>
      </c>
      <c r="AH53" s="57" t="str">
        <f t="shared" si="14"/>
        <v/>
      </c>
      <c r="AI53" s="57" t="str">
        <f t="shared" si="23"/>
        <v/>
      </c>
      <c r="AJ53" s="57" t="str">
        <f t="shared" si="15"/>
        <v/>
      </c>
      <c r="AK53" s="57" t="str">
        <f t="shared" si="24"/>
        <v/>
      </c>
    </row>
    <row r="54" spans="1:37">
      <c r="A54" s="2" t="str">
        <f t="shared" si="16"/>
        <v/>
      </c>
      <c r="B54" s="10" t="str">
        <f t="shared" si="3"/>
        <v/>
      </c>
      <c r="C54" s="18" t="str">
        <f t="shared" si="4"/>
        <v/>
      </c>
      <c r="D54" s="4" t="str">
        <f t="shared" si="17"/>
        <v/>
      </c>
      <c r="E54" s="4" t="str">
        <f t="shared" si="5"/>
        <v/>
      </c>
      <c r="F54" s="4" t="str">
        <f t="shared" si="6"/>
        <v/>
      </c>
      <c r="G54" s="4" t="str">
        <f t="shared" si="7"/>
        <v/>
      </c>
      <c r="H54" s="4"/>
      <c r="I54" s="4"/>
      <c r="J54" s="4"/>
      <c r="K54" s="4"/>
      <c r="L54" s="4" t="str">
        <f>IF(A54="","",IF(ISERROR(VLOOKUP(A54,'pagos anticipados'!$A$2:$B$5,2,FALSE)),0,VLOOKUP(A54,'pagos anticipados'!$A$2:B52,2,FALSE)))</f>
        <v/>
      </c>
      <c r="M54" s="4" t="str">
        <f t="shared" si="0"/>
        <v/>
      </c>
      <c r="N54" s="1">
        <f t="shared" si="1"/>
        <v>0</v>
      </c>
      <c r="Q54" s="44" t="str">
        <f t="shared" si="8"/>
        <v/>
      </c>
      <c r="R54" s="44" t="str">
        <f t="shared" si="18"/>
        <v/>
      </c>
      <c r="S54" s="44" t="str">
        <f t="shared" si="9"/>
        <v/>
      </c>
      <c r="U54" s="42" t="str">
        <f t="shared" si="19"/>
        <v/>
      </c>
      <c r="V54" s="41" t="str">
        <f t="shared" si="20"/>
        <v/>
      </c>
      <c r="W54" s="41" t="str">
        <f t="shared" si="10"/>
        <v/>
      </c>
      <c r="Y54" s="35" t="str">
        <f t="shared" si="11"/>
        <v/>
      </c>
      <c r="Z54" s="34" t="str">
        <f t="shared" si="21"/>
        <v/>
      </c>
      <c r="AA54" s="34" t="str">
        <f t="shared" si="2"/>
        <v/>
      </c>
      <c r="AC54" s="36" t="str">
        <f t="shared" si="12"/>
        <v/>
      </c>
      <c r="AE54" s="37">
        <f t="shared" si="13"/>
        <v>0</v>
      </c>
      <c r="AG54" s="56" t="str">
        <f t="shared" si="22"/>
        <v/>
      </c>
      <c r="AH54" s="57" t="str">
        <f t="shared" si="14"/>
        <v/>
      </c>
      <c r="AI54" s="57" t="str">
        <f t="shared" si="23"/>
        <v/>
      </c>
      <c r="AJ54" s="57" t="str">
        <f t="shared" si="15"/>
        <v/>
      </c>
      <c r="AK54" s="57" t="str">
        <f t="shared" si="24"/>
        <v/>
      </c>
    </row>
    <row r="55" spans="1:37">
      <c r="A55" s="2" t="str">
        <f t="shared" si="16"/>
        <v/>
      </c>
      <c r="B55" s="10" t="str">
        <f t="shared" si="3"/>
        <v/>
      </c>
      <c r="C55" s="18" t="str">
        <f t="shared" si="4"/>
        <v/>
      </c>
      <c r="D55" s="4" t="str">
        <f t="shared" si="17"/>
        <v/>
      </c>
      <c r="E55" s="4" t="str">
        <f t="shared" si="5"/>
        <v/>
      </c>
      <c r="F55" s="4" t="str">
        <f t="shared" si="6"/>
        <v/>
      </c>
      <c r="G55" s="4" t="str">
        <f t="shared" si="7"/>
        <v/>
      </c>
      <c r="H55" s="4"/>
      <c r="I55" s="4"/>
      <c r="J55" s="4"/>
      <c r="K55" s="4"/>
      <c r="L55" s="4" t="str">
        <f>IF(A55="","",IF(ISERROR(VLOOKUP(A55,'pagos anticipados'!$A$2:$B$5,2,FALSE)),0,VLOOKUP(A55,'pagos anticipados'!$A$2:B53,2,FALSE)))</f>
        <v/>
      </c>
      <c r="M55" s="4" t="str">
        <f t="shared" si="0"/>
        <v/>
      </c>
      <c r="N55" s="1">
        <f t="shared" si="1"/>
        <v>0</v>
      </c>
      <c r="Q55" s="44" t="str">
        <f t="shared" si="8"/>
        <v/>
      </c>
      <c r="R55" s="44" t="str">
        <f t="shared" si="18"/>
        <v/>
      </c>
      <c r="S55" s="44" t="str">
        <f t="shared" si="9"/>
        <v/>
      </c>
      <c r="U55" s="42" t="str">
        <f t="shared" si="19"/>
        <v/>
      </c>
      <c r="V55" s="41" t="str">
        <f t="shared" si="20"/>
        <v/>
      </c>
      <c r="W55" s="41" t="str">
        <f t="shared" si="10"/>
        <v/>
      </c>
      <c r="Y55" s="35" t="str">
        <f t="shared" si="11"/>
        <v/>
      </c>
      <c r="Z55" s="34" t="str">
        <f t="shared" si="21"/>
        <v/>
      </c>
      <c r="AA55" s="34" t="str">
        <f t="shared" si="2"/>
        <v/>
      </c>
      <c r="AC55" s="36" t="str">
        <f t="shared" si="12"/>
        <v/>
      </c>
      <c r="AE55" s="37">
        <f t="shared" si="13"/>
        <v>0</v>
      </c>
      <c r="AG55" s="56" t="str">
        <f t="shared" si="22"/>
        <v/>
      </c>
      <c r="AH55" s="57" t="str">
        <f t="shared" si="14"/>
        <v/>
      </c>
      <c r="AI55" s="57" t="str">
        <f t="shared" si="23"/>
        <v/>
      </c>
      <c r="AJ55" s="57" t="str">
        <f t="shared" si="15"/>
        <v/>
      </c>
      <c r="AK55" s="57" t="str">
        <f t="shared" si="24"/>
        <v/>
      </c>
    </row>
    <row r="56" spans="1:37">
      <c r="A56" s="2" t="str">
        <f t="shared" si="16"/>
        <v/>
      </c>
      <c r="B56" s="10" t="str">
        <f t="shared" si="3"/>
        <v/>
      </c>
      <c r="C56" s="18" t="str">
        <f t="shared" si="4"/>
        <v/>
      </c>
      <c r="D56" s="4" t="str">
        <f t="shared" si="17"/>
        <v/>
      </c>
      <c r="E56" s="4" t="str">
        <f t="shared" si="5"/>
        <v/>
      </c>
      <c r="F56" s="4" t="str">
        <f t="shared" si="6"/>
        <v/>
      </c>
      <c r="G56" s="4" t="str">
        <f t="shared" si="7"/>
        <v/>
      </c>
      <c r="H56" s="4"/>
      <c r="I56" s="4"/>
      <c r="J56" s="4"/>
      <c r="K56" s="4"/>
      <c r="L56" s="4" t="str">
        <f>IF(A56="","",IF(ISERROR(VLOOKUP(A56,'pagos anticipados'!$A$2:$B$5,2,FALSE)),0,VLOOKUP(A56,'pagos anticipados'!$A$2:B54,2,FALSE)))</f>
        <v/>
      </c>
      <c r="M56" s="4" t="str">
        <f t="shared" si="0"/>
        <v/>
      </c>
      <c r="N56" s="1">
        <f t="shared" si="1"/>
        <v>0</v>
      </c>
      <c r="Q56" s="44" t="str">
        <f t="shared" si="8"/>
        <v/>
      </c>
      <c r="R56" s="44" t="str">
        <f t="shared" si="18"/>
        <v/>
      </c>
      <c r="S56" s="44" t="str">
        <f t="shared" si="9"/>
        <v/>
      </c>
      <c r="U56" s="42" t="str">
        <f t="shared" si="19"/>
        <v/>
      </c>
      <c r="V56" s="41" t="str">
        <f t="shared" si="20"/>
        <v/>
      </c>
      <c r="W56" s="41" t="str">
        <f t="shared" si="10"/>
        <v/>
      </c>
      <c r="Y56" s="35" t="str">
        <f t="shared" si="11"/>
        <v/>
      </c>
      <c r="Z56" s="34" t="str">
        <f t="shared" si="21"/>
        <v/>
      </c>
      <c r="AA56" s="34" t="str">
        <f t="shared" si="2"/>
        <v/>
      </c>
      <c r="AC56" s="36" t="str">
        <f t="shared" si="12"/>
        <v/>
      </c>
      <c r="AE56" s="37">
        <f t="shared" si="13"/>
        <v>0</v>
      </c>
      <c r="AG56" s="56" t="str">
        <f t="shared" si="22"/>
        <v/>
      </c>
      <c r="AH56" s="57" t="str">
        <f t="shared" si="14"/>
        <v/>
      </c>
      <c r="AI56" s="57" t="str">
        <f t="shared" si="23"/>
        <v/>
      </c>
      <c r="AJ56" s="57" t="str">
        <f t="shared" si="15"/>
        <v/>
      </c>
      <c r="AK56" s="57" t="str">
        <f t="shared" si="24"/>
        <v/>
      </c>
    </row>
    <row r="57" spans="1:37">
      <c r="A57" s="2" t="str">
        <f t="shared" si="16"/>
        <v/>
      </c>
      <c r="B57" s="10" t="str">
        <f t="shared" si="3"/>
        <v/>
      </c>
      <c r="C57" s="18" t="str">
        <f t="shared" si="4"/>
        <v/>
      </c>
      <c r="D57" s="4" t="str">
        <f t="shared" si="17"/>
        <v/>
      </c>
      <c r="E57" s="4" t="str">
        <f t="shared" si="5"/>
        <v/>
      </c>
      <c r="F57" s="4" t="str">
        <f t="shared" si="6"/>
        <v/>
      </c>
      <c r="G57" s="4" t="str">
        <f t="shared" si="7"/>
        <v/>
      </c>
      <c r="H57" s="4"/>
      <c r="I57" s="4"/>
      <c r="J57" s="4"/>
      <c r="K57" s="4"/>
      <c r="L57" s="4" t="str">
        <f>IF(A57="","",IF(ISERROR(VLOOKUP(A57,'pagos anticipados'!$A$2:$B$5,2,FALSE)),0,VLOOKUP(A57,'pagos anticipados'!$A$2:B55,2,FALSE)))</f>
        <v/>
      </c>
      <c r="M57" s="4" t="str">
        <f t="shared" si="0"/>
        <v/>
      </c>
      <c r="N57" s="1">
        <f t="shared" si="1"/>
        <v>0</v>
      </c>
      <c r="Q57" s="44" t="str">
        <f t="shared" si="8"/>
        <v/>
      </c>
      <c r="R57" s="44" t="str">
        <f t="shared" si="18"/>
        <v/>
      </c>
      <c r="S57" s="44" t="str">
        <f t="shared" si="9"/>
        <v/>
      </c>
      <c r="U57" s="42" t="str">
        <f t="shared" si="19"/>
        <v/>
      </c>
      <c r="V57" s="41" t="str">
        <f t="shared" si="20"/>
        <v/>
      </c>
      <c r="W57" s="41" t="str">
        <f t="shared" si="10"/>
        <v/>
      </c>
      <c r="Y57" s="35" t="str">
        <f t="shared" si="11"/>
        <v/>
      </c>
      <c r="Z57" s="34" t="str">
        <f t="shared" si="21"/>
        <v/>
      </c>
      <c r="AA57" s="34" t="str">
        <f t="shared" si="2"/>
        <v/>
      </c>
      <c r="AC57" s="36" t="str">
        <f t="shared" si="12"/>
        <v/>
      </c>
      <c r="AE57" s="37">
        <f t="shared" si="13"/>
        <v>0</v>
      </c>
      <c r="AG57" s="56" t="str">
        <f t="shared" si="22"/>
        <v/>
      </c>
      <c r="AH57" s="57" t="str">
        <f t="shared" si="14"/>
        <v/>
      </c>
      <c r="AI57" s="57" t="str">
        <f t="shared" si="23"/>
        <v/>
      </c>
      <c r="AJ57" s="57" t="str">
        <f t="shared" si="15"/>
        <v/>
      </c>
      <c r="AK57" s="57" t="str">
        <f t="shared" si="24"/>
        <v/>
      </c>
    </row>
    <row r="58" spans="1:37">
      <c r="A58" s="2" t="str">
        <f t="shared" si="16"/>
        <v/>
      </c>
      <c r="B58" s="10" t="str">
        <f t="shared" si="3"/>
        <v/>
      </c>
      <c r="C58" s="18" t="str">
        <f t="shared" si="4"/>
        <v/>
      </c>
      <c r="D58" s="4" t="str">
        <f t="shared" si="17"/>
        <v/>
      </c>
      <c r="E58" s="4" t="str">
        <f t="shared" si="5"/>
        <v/>
      </c>
      <c r="F58" s="4" t="str">
        <f t="shared" si="6"/>
        <v/>
      </c>
      <c r="G58" s="4" t="str">
        <f t="shared" si="7"/>
        <v/>
      </c>
      <c r="H58" s="4"/>
      <c r="I58" s="4"/>
      <c r="J58" s="4"/>
      <c r="K58" s="4"/>
      <c r="L58" s="4" t="str">
        <f>IF(A58="","",IF(ISERROR(VLOOKUP(A58,'pagos anticipados'!$A$2:$B$5,2,FALSE)),0,VLOOKUP(A58,'pagos anticipados'!$A$2:B56,2,FALSE)))</f>
        <v/>
      </c>
      <c r="M58" s="4" t="str">
        <f t="shared" si="0"/>
        <v/>
      </c>
      <c r="N58" s="1">
        <f t="shared" si="1"/>
        <v>0</v>
      </c>
      <c r="Q58" s="44" t="str">
        <f t="shared" si="8"/>
        <v/>
      </c>
      <c r="R58" s="44" t="str">
        <f t="shared" si="18"/>
        <v/>
      </c>
      <c r="S58" s="44" t="str">
        <f t="shared" si="9"/>
        <v/>
      </c>
      <c r="U58" s="42" t="str">
        <f t="shared" si="19"/>
        <v/>
      </c>
      <c r="V58" s="41" t="str">
        <f t="shared" si="20"/>
        <v/>
      </c>
      <c r="W58" s="41" t="str">
        <f t="shared" si="10"/>
        <v/>
      </c>
      <c r="Y58" s="35" t="str">
        <f t="shared" si="11"/>
        <v/>
      </c>
      <c r="Z58" s="34" t="str">
        <f t="shared" si="21"/>
        <v/>
      </c>
      <c r="AA58" s="34" t="str">
        <f t="shared" si="2"/>
        <v/>
      </c>
      <c r="AC58" s="36" t="str">
        <f t="shared" si="12"/>
        <v/>
      </c>
      <c r="AE58" s="37">
        <f t="shared" si="13"/>
        <v>0</v>
      </c>
      <c r="AG58" s="56" t="str">
        <f t="shared" si="22"/>
        <v/>
      </c>
      <c r="AH58" s="57" t="str">
        <f t="shared" si="14"/>
        <v/>
      </c>
      <c r="AI58" s="57" t="str">
        <f t="shared" si="23"/>
        <v/>
      </c>
      <c r="AJ58" s="57" t="str">
        <f t="shared" si="15"/>
        <v/>
      </c>
      <c r="AK58" s="57" t="str">
        <f t="shared" si="24"/>
        <v/>
      </c>
    </row>
    <row r="59" spans="1:37">
      <c r="A59" s="2" t="str">
        <f t="shared" si="16"/>
        <v/>
      </c>
      <c r="B59" s="10" t="str">
        <f t="shared" si="3"/>
        <v/>
      </c>
      <c r="C59" s="18" t="str">
        <f t="shared" si="4"/>
        <v/>
      </c>
      <c r="D59" s="4" t="str">
        <f t="shared" si="17"/>
        <v/>
      </c>
      <c r="E59" s="4" t="str">
        <f t="shared" si="5"/>
        <v/>
      </c>
      <c r="F59" s="4" t="str">
        <f t="shared" si="6"/>
        <v/>
      </c>
      <c r="G59" s="4" t="str">
        <f t="shared" si="7"/>
        <v/>
      </c>
      <c r="H59" s="4"/>
      <c r="I59" s="4"/>
      <c r="J59" s="4"/>
      <c r="K59" s="4"/>
      <c r="L59" s="4" t="str">
        <f>IF(A59="","",IF(ISERROR(VLOOKUP(A59,'pagos anticipados'!$A$2:$B$5,2,FALSE)),0,VLOOKUP(A59,'pagos anticipados'!$A$2:B57,2,FALSE)))</f>
        <v/>
      </c>
      <c r="M59" s="4" t="str">
        <f t="shared" si="0"/>
        <v/>
      </c>
      <c r="N59" s="1">
        <f t="shared" si="1"/>
        <v>0</v>
      </c>
      <c r="Q59" s="44" t="str">
        <f t="shared" si="8"/>
        <v/>
      </c>
      <c r="R59" s="44" t="str">
        <f t="shared" si="18"/>
        <v/>
      </c>
      <c r="S59" s="44" t="str">
        <f t="shared" si="9"/>
        <v/>
      </c>
      <c r="U59" s="42" t="str">
        <f t="shared" si="19"/>
        <v/>
      </c>
      <c r="V59" s="41" t="str">
        <f t="shared" si="20"/>
        <v/>
      </c>
      <c r="W59" s="41" t="str">
        <f t="shared" si="10"/>
        <v/>
      </c>
      <c r="Y59" s="35" t="str">
        <f t="shared" si="11"/>
        <v/>
      </c>
      <c r="Z59" s="34" t="str">
        <f t="shared" si="21"/>
        <v/>
      </c>
      <c r="AA59" s="34" t="str">
        <f t="shared" si="2"/>
        <v/>
      </c>
      <c r="AC59" s="36" t="str">
        <f t="shared" si="12"/>
        <v/>
      </c>
      <c r="AE59" s="37">
        <f t="shared" si="13"/>
        <v>0</v>
      </c>
      <c r="AG59" s="56" t="str">
        <f t="shared" si="22"/>
        <v/>
      </c>
      <c r="AH59" s="57" t="str">
        <f t="shared" si="14"/>
        <v/>
      </c>
      <c r="AI59" s="57" t="str">
        <f t="shared" si="23"/>
        <v/>
      </c>
      <c r="AJ59" s="57" t="str">
        <f t="shared" si="15"/>
        <v/>
      </c>
      <c r="AK59" s="57" t="str">
        <f t="shared" si="24"/>
        <v/>
      </c>
    </row>
    <row r="60" spans="1:37">
      <c r="A60" s="2" t="str">
        <f t="shared" si="16"/>
        <v/>
      </c>
      <c r="B60" s="10" t="str">
        <f t="shared" si="3"/>
        <v/>
      </c>
      <c r="C60" s="18" t="str">
        <f t="shared" si="4"/>
        <v/>
      </c>
      <c r="D60" s="4" t="str">
        <f t="shared" si="17"/>
        <v/>
      </c>
      <c r="E60" s="4" t="str">
        <f t="shared" si="5"/>
        <v/>
      </c>
      <c r="F60" s="4" t="str">
        <f t="shared" si="6"/>
        <v/>
      </c>
      <c r="G60" s="4" t="str">
        <f t="shared" si="7"/>
        <v/>
      </c>
      <c r="H60" s="4"/>
      <c r="I60" s="4"/>
      <c r="J60" s="4"/>
      <c r="K60" s="4"/>
      <c r="L60" s="4" t="str">
        <f>IF(A60="","",IF(ISERROR(VLOOKUP(A60,'pagos anticipados'!$A$2:$B$5,2,FALSE)),0,VLOOKUP(A60,'pagos anticipados'!$A$2:B58,2,FALSE)))</f>
        <v/>
      </c>
      <c r="M60" s="4" t="str">
        <f t="shared" si="0"/>
        <v/>
      </c>
      <c r="N60" s="1">
        <f t="shared" si="1"/>
        <v>0</v>
      </c>
      <c r="Q60" s="44" t="str">
        <f t="shared" si="8"/>
        <v/>
      </c>
      <c r="R60" s="44" t="str">
        <f t="shared" si="18"/>
        <v/>
      </c>
      <c r="S60" s="44" t="str">
        <f t="shared" si="9"/>
        <v/>
      </c>
      <c r="U60" s="42" t="str">
        <f t="shared" si="19"/>
        <v/>
      </c>
      <c r="V60" s="41" t="str">
        <f t="shared" si="20"/>
        <v/>
      </c>
      <c r="W60" s="41" t="str">
        <f t="shared" si="10"/>
        <v/>
      </c>
      <c r="Y60" s="35" t="str">
        <f t="shared" si="11"/>
        <v/>
      </c>
      <c r="Z60" s="34" t="str">
        <f t="shared" si="21"/>
        <v/>
      </c>
      <c r="AA60" s="34" t="str">
        <f t="shared" si="2"/>
        <v/>
      </c>
      <c r="AC60" s="36" t="str">
        <f t="shared" si="12"/>
        <v/>
      </c>
      <c r="AE60" s="37">
        <f t="shared" si="13"/>
        <v>0</v>
      </c>
      <c r="AG60" s="56" t="str">
        <f t="shared" si="22"/>
        <v/>
      </c>
      <c r="AH60" s="57" t="str">
        <f t="shared" si="14"/>
        <v/>
      </c>
      <c r="AI60" s="57" t="str">
        <f t="shared" si="23"/>
        <v/>
      </c>
      <c r="AJ60" s="57" t="str">
        <f t="shared" si="15"/>
        <v/>
      </c>
      <c r="AK60" s="57" t="str">
        <f t="shared" si="24"/>
        <v/>
      </c>
    </row>
    <row r="61" spans="1:37">
      <c r="A61" s="2" t="str">
        <f t="shared" si="16"/>
        <v/>
      </c>
      <c r="B61" s="10" t="str">
        <f t="shared" si="3"/>
        <v/>
      </c>
      <c r="C61" s="18" t="str">
        <f t="shared" si="4"/>
        <v/>
      </c>
      <c r="D61" s="4" t="str">
        <f t="shared" si="17"/>
        <v/>
      </c>
      <c r="E61" s="4" t="str">
        <f t="shared" si="5"/>
        <v/>
      </c>
      <c r="F61" s="4" t="str">
        <f t="shared" si="6"/>
        <v/>
      </c>
      <c r="G61" s="4" t="str">
        <f t="shared" si="7"/>
        <v/>
      </c>
      <c r="H61" s="4"/>
      <c r="I61" s="4"/>
      <c r="J61" s="4"/>
      <c r="K61" s="4"/>
      <c r="L61" s="4" t="str">
        <f>IF(A61="","",IF(ISERROR(VLOOKUP(A61,'pagos anticipados'!$A$2:$B$5,2,FALSE)),0,VLOOKUP(A61,'pagos anticipados'!$A$2:B59,2,FALSE)))</f>
        <v/>
      </c>
      <c r="M61" s="4" t="str">
        <f t="shared" si="0"/>
        <v/>
      </c>
      <c r="N61" s="1">
        <f t="shared" si="1"/>
        <v>0</v>
      </c>
      <c r="Q61" s="44" t="str">
        <f t="shared" si="8"/>
        <v/>
      </c>
      <c r="R61" s="44" t="str">
        <f t="shared" si="18"/>
        <v/>
      </c>
      <c r="S61" s="44" t="str">
        <f t="shared" si="9"/>
        <v/>
      </c>
      <c r="U61" s="42" t="str">
        <f t="shared" si="19"/>
        <v/>
      </c>
      <c r="V61" s="41" t="str">
        <f t="shared" si="20"/>
        <v/>
      </c>
      <c r="W61" s="41" t="str">
        <f t="shared" si="10"/>
        <v/>
      </c>
      <c r="Y61" s="35" t="str">
        <f t="shared" si="11"/>
        <v/>
      </c>
      <c r="Z61" s="34" t="str">
        <f t="shared" si="21"/>
        <v/>
      </c>
      <c r="AA61" s="34" t="str">
        <f t="shared" si="2"/>
        <v/>
      </c>
      <c r="AC61" s="36" t="str">
        <f t="shared" si="12"/>
        <v/>
      </c>
      <c r="AE61" s="37">
        <f t="shared" si="13"/>
        <v>0</v>
      </c>
      <c r="AG61" s="56" t="str">
        <f t="shared" si="22"/>
        <v/>
      </c>
      <c r="AH61" s="57" t="str">
        <f t="shared" si="14"/>
        <v/>
      </c>
      <c r="AI61" s="57" t="str">
        <f t="shared" si="23"/>
        <v/>
      </c>
      <c r="AJ61" s="57" t="str">
        <f t="shared" si="15"/>
        <v/>
      </c>
      <c r="AK61" s="57" t="str">
        <f t="shared" si="24"/>
        <v/>
      </c>
    </row>
    <row r="62" spans="1:37">
      <c r="A62" s="2" t="str">
        <f t="shared" si="16"/>
        <v/>
      </c>
      <c r="B62" s="10" t="str">
        <f t="shared" si="3"/>
        <v/>
      </c>
      <c r="C62" s="18" t="str">
        <f t="shared" si="4"/>
        <v/>
      </c>
      <c r="D62" s="4" t="str">
        <f t="shared" si="17"/>
        <v/>
      </c>
      <c r="E62" s="4" t="str">
        <f t="shared" si="5"/>
        <v/>
      </c>
      <c r="F62" s="4" t="str">
        <f t="shared" si="6"/>
        <v/>
      </c>
      <c r="G62" s="4" t="str">
        <f t="shared" si="7"/>
        <v/>
      </c>
      <c r="H62" s="4"/>
      <c r="I62" s="4"/>
      <c r="J62" s="4"/>
      <c r="K62" s="4"/>
      <c r="L62" s="4" t="str">
        <f>IF(A62="","",IF(ISERROR(VLOOKUP(A62,'pagos anticipados'!$A$2:$B$5,2,FALSE)),0,VLOOKUP(A62,'pagos anticipados'!$A$2:B60,2,FALSE)))</f>
        <v/>
      </c>
      <c r="M62" s="4" t="str">
        <f t="shared" si="0"/>
        <v/>
      </c>
      <c r="N62" s="1">
        <f t="shared" si="1"/>
        <v>0</v>
      </c>
      <c r="Q62" s="44" t="str">
        <f t="shared" si="8"/>
        <v/>
      </c>
      <c r="R62" s="44" t="str">
        <f t="shared" si="18"/>
        <v/>
      </c>
      <c r="S62" s="44" t="str">
        <f t="shared" si="9"/>
        <v/>
      </c>
      <c r="U62" s="42" t="str">
        <f t="shared" si="19"/>
        <v/>
      </c>
      <c r="V62" s="41" t="str">
        <f t="shared" si="20"/>
        <v/>
      </c>
      <c r="W62" s="41" t="str">
        <f t="shared" si="10"/>
        <v/>
      </c>
      <c r="Y62" s="35" t="str">
        <f t="shared" si="11"/>
        <v/>
      </c>
      <c r="Z62" s="34" t="str">
        <f t="shared" si="21"/>
        <v/>
      </c>
      <c r="AA62" s="34" t="str">
        <f t="shared" si="2"/>
        <v/>
      </c>
      <c r="AC62" s="36" t="str">
        <f t="shared" si="12"/>
        <v/>
      </c>
      <c r="AE62" s="37">
        <f t="shared" si="13"/>
        <v>0</v>
      </c>
      <c r="AG62" s="56" t="str">
        <f t="shared" si="22"/>
        <v/>
      </c>
      <c r="AH62" s="57" t="str">
        <f t="shared" si="14"/>
        <v/>
      </c>
      <c r="AI62" s="57" t="str">
        <f t="shared" si="23"/>
        <v/>
      </c>
      <c r="AJ62" s="57" t="str">
        <f t="shared" si="15"/>
        <v/>
      </c>
      <c r="AK62" s="57" t="str">
        <f t="shared" si="24"/>
        <v/>
      </c>
    </row>
    <row r="63" spans="1:37">
      <c r="A63" s="2" t="str">
        <f t="shared" si="16"/>
        <v/>
      </c>
      <c r="B63" s="10" t="str">
        <f t="shared" si="3"/>
        <v/>
      </c>
      <c r="C63" s="18" t="str">
        <f t="shared" si="4"/>
        <v/>
      </c>
      <c r="D63" s="4" t="str">
        <f t="shared" si="17"/>
        <v/>
      </c>
      <c r="E63" s="4" t="str">
        <f t="shared" si="5"/>
        <v/>
      </c>
      <c r="F63" s="4" t="str">
        <f t="shared" si="6"/>
        <v/>
      </c>
      <c r="G63" s="4" t="str">
        <f t="shared" si="7"/>
        <v/>
      </c>
      <c r="H63" s="4"/>
      <c r="I63" s="4"/>
      <c r="J63" s="4"/>
      <c r="K63" s="4"/>
      <c r="L63" s="4" t="str">
        <f>IF(A63="","",IF(ISERROR(VLOOKUP(A63,'pagos anticipados'!$A$2:$B$5,2,FALSE)),0,VLOOKUP(A63,'pagos anticipados'!$A$2:B61,2,FALSE)))</f>
        <v/>
      </c>
      <c r="M63" s="4" t="str">
        <f t="shared" si="0"/>
        <v/>
      </c>
      <c r="N63" s="1">
        <f t="shared" si="1"/>
        <v>0</v>
      </c>
      <c r="Q63" s="44" t="str">
        <f t="shared" si="8"/>
        <v/>
      </c>
      <c r="R63" s="44" t="str">
        <f t="shared" si="18"/>
        <v/>
      </c>
      <c r="S63" s="44" t="str">
        <f t="shared" si="9"/>
        <v/>
      </c>
      <c r="U63" s="42" t="str">
        <f t="shared" si="19"/>
        <v/>
      </c>
      <c r="V63" s="41" t="str">
        <f t="shared" si="20"/>
        <v/>
      </c>
      <c r="W63" s="41" t="str">
        <f t="shared" si="10"/>
        <v/>
      </c>
      <c r="Y63" s="35" t="str">
        <f t="shared" si="11"/>
        <v/>
      </c>
      <c r="Z63" s="34" t="str">
        <f t="shared" si="21"/>
        <v/>
      </c>
      <c r="AA63" s="34" t="str">
        <f t="shared" si="2"/>
        <v/>
      </c>
      <c r="AC63" s="36" t="str">
        <f t="shared" si="12"/>
        <v/>
      </c>
      <c r="AE63" s="37">
        <f t="shared" si="13"/>
        <v>0</v>
      </c>
      <c r="AG63" s="56" t="str">
        <f t="shared" si="22"/>
        <v/>
      </c>
      <c r="AH63" s="57" t="str">
        <f t="shared" si="14"/>
        <v/>
      </c>
      <c r="AI63" s="57" t="str">
        <f t="shared" si="23"/>
        <v/>
      </c>
      <c r="AJ63" s="57" t="str">
        <f t="shared" si="15"/>
        <v/>
      </c>
      <c r="AK63" s="57" t="str">
        <f t="shared" si="24"/>
        <v/>
      </c>
    </row>
    <row r="64" spans="1:37">
      <c r="A64" s="2" t="str">
        <f t="shared" si="16"/>
        <v/>
      </c>
      <c r="B64" s="10" t="str">
        <f t="shared" si="3"/>
        <v/>
      </c>
      <c r="C64" s="18" t="str">
        <f t="shared" si="4"/>
        <v/>
      </c>
      <c r="D64" s="4" t="str">
        <f t="shared" si="17"/>
        <v/>
      </c>
      <c r="E64" s="4" t="str">
        <f t="shared" si="5"/>
        <v/>
      </c>
      <c r="F64" s="4" t="str">
        <f t="shared" si="6"/>
        <v/>
      </c>
      <c r="G64" s="4" t="str">
        <f t="shared" si="7"/>
        <v/>
      </c>
      <c r="H64" s="4"/>
      <c r="I64" s="4"/>
      <c r="J64" s="4"/>
      <c r="K64" s="4"/>
      <c r="L64" s="4" t="str">
        <f>IF(A64="","",IF(ISERROR(VLOOKUP(A64,'pagos anticipados'!$A$2:$B$5,2,FALSE)),0,VLOOKUP(A64,'pagos anticipados'!$A$2:B62,2,FALSE)))</f>
        <v/>
      </c>
      <c r="M64" s="4" t="str">
        <f t="shared" si="0"/>
        <v/>
      </c>
      <c r="N64" s="1">
        <f t="shared" si="1"/>
        <v>0</v>
      </c>
      <c r="Q64" s="44" t="str">
        <f t="shared" si="8"/>
        <v/>
      </c>
      <c r="R64" s="44" t="str">
        <f t="shared" si="18"/>
        <v/>
      </c>
      <c r="S64" s="44" t="str">
        <f t="shared" si="9"/>
        <v/>
      </c>
      <c r="U64" s="42" t="str">
        <f t="shared" si="19"/>
        <v/>
      </c>
      <c r="V64" s="41" t="str">
        <f t="shared" si="20"/>
        <v/>
      </c>
      <c r="W64" s="41" t="str">
        <f t="shared" si="10"/>
        <v/>
      </c>
      <c r="Y64" s="35" t="str">
        <f t="shared" si="11"/>
        <v/>
      </c>
      <c r="Z64" s="34" t="str">
        <f t="shared" si="21"/>
        <v/>
      </c>
      <c r="AA64" s="34" t="str">
        <f t="shared" si="2"/>
        <v/>
      </c>
      <c r="AC64" s="36" t="str">
        <f t="shared" si="12"/>
        <v/>
      </c>
      <c r="AE64" s="37">
        <f t="shared" si="13"/>
        <v>0</v>
      </c>
      <c r="AG64" s="56" t="str">
        <f t="shared" si="22"/>
        <v/>
      </c>
      <c r="AH64" s="57" t="str">
        <f t="shared" si="14"/>
        <v/>
      </c>
      <c r="AI64" s="57" t="str">
        <f t="shared" si="23"/>
        <v/>
      </c>
      <c r="AJ64" s="57" t="str">
        <f t="shared" si="15"/>
        <v/>
      </c>
      <c r="AK64" s="57" t="str">
        <f t="shared" si="24"/>
        <v/>
      </c>
    </row>
    <row r="65" spans="1:37">
      <c r="A65" s="2" t="str">
        <f t="shared" si="16"/>
        <v/>
      </c>
      <c r="B65" s="10" t="str">
        <f t="shared" si="3"/>
        <v/>
      </c>
      <c r="C65" s="18" t="str">
        <f t="shared" si="4"/>
        <v/>
      </c>
      <c r="D65" s="4" t="str">
        <f t="shared" si="17"/>
        <v/>
      </c>
      <c r="E65" s="4" t="str">
        <f t="shared" si="5"/>
        <v/>
      </c>
      <c r="F65" s="4" t="str">
        <f t="shared" si="6"/>
        <v/>
      </c>
      <c r="G65" s="4" t="str">
        <f t="shared" si="7"/>
        <v/>
      </c>
      <c r="H65" s="4"/>
      <c r="I65" s="4"/>
      <c r="J65" s="4"/>
      <c r="K65" s="4"/>
      <c r="L65" s="4" t="str">
        <f>IF(A65="","",IF(ISERROR(VLOOKUP(A65,'pagos anticipados'!$A$2:$B$5,2,FALSE)),0,VLOOKUP(A65,'pagos anticipados'!$A$2:B63,2,FALSE)))</f>
        <v/>
      </c>
      <c r="M65" s="4" t="str">
        <f t="shared" si="0"/>
        <v/>
      </c>
      <c r="N65" s="1">
        <f t="shared" si="1"/>
        <v>0</v>
      </c>
      <c r="Q65" s="44" t="str">
        <f t="shared" si="8"/>
        <v/>
      </c>
      <c r="R65" s="44" t="str">
        <f t="shared" si="18"/>
        <v/>
      </c>
      <c r="S65" s="44" t="str">
        <f t="shared" si="9"/>
        <v/>
      </c>
      <c r="U65" s="42" t="str">
        <f t="shared" si="19"/>
        <v/>
      </c>
      <c r="V65" s="41" t="str">
        <f t="shared" si="20"/>
        <v/>
      </c>
      <c r="W65" s="41" t="str">
        <f t="shared" si="10"/>
        <v/>
      </c>
      <c r="Y65" s="35" t="str">
        <f t="shared" si="11"/>
        <v/>
      </c>
      <c r="Z65" s="34" t="str">
        <f t="shared" si="21"/>
        <v/>
      </c>
      <c r="AA65" s="34" t="str">
        <f t="shared" si="2"/>
        <v/>
      </c>
      <c r="AC65" s="36" t="str">
        <f t="shared" si="12"/>
        <v/>
      </c>
      <c r="AE65" s="37">
        <f t="shared" si="13"/>
        <v>0</v>
      </c>
      <c r="AG65" s="56" t="str">
        <f t="shared" si="22"/>
        <v/>
      </c>
      <c r="AH65" s="57" t="str">
        <f t="shared" si="14"/>
        <v/>
      </c>
      <c r="AI65" s="57" t="str">
        <f t="shared" si="23"/>
        <v/>
      </c>
      <c r="AJ65" s="57" t="str">
        <f t="shared" si="15"/>
        <v/>
      </c>
      <c r="AK65" s="57" t="str">
        <f t="shared" si="24"/>
        <v/>
      </c>
    </row>
    <row r="66" spans="1:37">
      <c r="A66" s="2" t="str">
        <f t="shared" si="16"/>
        <v/>
      </c>
      <c r="B66" s="10" t="str">
        <f t="shared" si="3"/>
        <v/>
      </c>
      <c r="C66" s="18" t="str">
        <f t="shared" si="4"/>
        <v/>
      </c>
      <c r="D66" s="4" t="str">
        <f t="shared" si="17"/>
        <v/>
      </c>
      <c r="E66" s="4" t="str">
        <f t="shared" si="5"/>
        <v/>
      </c>
      <c r="F66" s="4" t="str">
        <f t="shared" si="6"/>
        <v/>
      </c>
      <c r="G66" s="4" t="str">
        <f t="shared" si="7"/>
        <v/>
      </c>
      <c r="H66" s="4"/>
      <c r="I66" s="4"/>
      <c r="J66" s="4"/>
      <c r="K66" s="4"/>
      <c r="L66" s="4" t="str">
        <f>IF(A66="","",IF(ISERROR(VLOOKUP(A66,'pagos anticipados'!$A$2:$B$5,2,FALSE)),0,VLOOKUP(A66,'pagos anticipados'!$A$2:B64,2,FALSE)))</f>
        <v/>
      </c>
      <c r="M66" s="4" t="str">
        <f t="shared" si="0"/>
        <v/>
      </c>
      <c r="N66" s="1">
        <f t="shared" si="1"/>
        <v>0</v>
      </c>
      <c r="Q66" s="44" t="str">
        <f t="shared" si="8"/>
        <v/>
      </c>
      <c r="R66" s="44" t="str">
        <f t="shared" si="18"/>
        <v/>
      </c>
      <c r="S66" s="44" t="str">
        <f t="shared" si="9"/>
        <v/>
      </c>
      <c r="U66" s="42" t="str">
        <f t="shared" si="19"/>
        <v/>
      </c>
      <c r="V66" s="41" t="str">
        <f t="shared" si="20"/>
        <v/>
      </c>
      <c r="W66" s="41" t="str">
        <f t="shared" si="10"/>
        <v/>
      </c>
      <c r="Y66" s="35" t="str">
        <f t="shared" si="11"/>
        <v/>
      </c>
      <c r="Z66" s="34" t="str">
        <f t="shared" si="21"/>
        <v/>
      </c>
      <c r="AA66" s="34" t="str">
        <f t="shared" si="2"/>
        <v/>
      </c>
      <c r="AC66" s="36" t="str">
        <f t="shared" si="12"/>
        <v/>
      </c>
      <c r="AE66" s="37">
        <f t="shared" si="13"/>
        <v>0</v>
      </c>
      <c r="AG66" s="56" t="str">
        <f t="shared" si="22"/>
        <v/>
      </c>
      <c r="AH66" s="57" t="str">
        <f t="shared" si="14"/>
        <v/>
      </c>
      <c r="AI66" s="57" t="str">
        <f t="shared" si="23"/>
        <v/>
      </c>
      <c r="AJ66" s="57" t="str">
        <f t="shared" si="15"/>
        <v/>
      </c>
      <c r="AK66" s="57" t="str">
        <f t="shared" si="24"/>
        <v/>
      </c>
    </row>
    <row r="67" spans="1:37">
      <c r="A67" s="2" t="str">
        <f t="shared" si="16"/>
        <v/>
      </c>
      <c r="B67" s="10" t="str">
        <f t="shared" si="3"/>
        <v/>
      </c>
      <c r="C67" s="18" t="str">
        <f t="shared" si="4"/>
        <v/>
      </c>
      <c r="D67" s="4" t="str">
        <f t="shared" si="17"/>
        <v/>
      </c>
      <c r="E67" s="4" t="str">
        <f t="shared" si="5"/>
        <v/>
      </c>
      <c r="F67" s="4" t="str">
        <f t="shared" si="6"/>
        <v/>
      </c>
      <c r="G67" s="4" t="str">
        <f t="shared" si="7"/>
        <v/>
      </c>
      <c r="H67" s="4"/>
      <c r="I67" s="4"/>
      <c r="J67" s="4"/>
      <c r="K67" s="4"/>
      <c r="L67" s="4" t="str">
        <f>IF(A67="","",IF(ISERROR(VLOOKUP(A67,'pagos anticipados'!$A$2:$B$5,2,FALSE)),0,VLOOKUP(A67,'pagos anticipados'!$A$2:B65,2,FALSE)))</f>
        <v/>
      </c>
      <c r="M67" s="4" t="str">
        <f t="shared" si="0"/>
        <v/>
      </c>
      <c r="N67" s="1">
        <f t="shared" si="1"/>
        <v>0</v>
      </c>
      <c r="Q67" s="44" t="str">
        <f t="shared" si="8"/>
        <v/>
      </c>
      <c r="R67" s="44" t="str">
        <f t="shared" si="18"/>
        <v/>
      </c>
      <c r="S67" s="44" t="str">
        <f t="shared" si="9"/>
        <v/>
      </c>
      <c r="U67" s="42" t="str">
        <f t="shared" si="19"/>
        <v/>
      </c>
      <c r="V67" s="41" t="str">
        <f t="shared" si="20"/>
        <v/>
      </c>
      <c r="W67" s="41" t="str">
        <f t="shared" si="10"/>
        <v/>
      </c>
      <c r="Y67" s="35" t="str">
        <f t="shared" si="11"/>
        <v/>
      </c>
      <c r="Z67" s="34" t="str">
        <f t="shared" si="21"/>
        <v/>
      </c>
      <c r="AA67" s="34" t="str">
        <f t="shared" si="2"/>
        <v/>
      </c>
      <c r="AC67" s="36" t="str">
        <f t="shared" si="12"/>
        <v/>
      </c>
      <c r="AE67" s="37">
        <f t="shared" si="13"/>
        <v>0</v>
      </c>
      <c r="AG67" s="56" t="str">
        <f t="shared" si="22"/>
        <v/>
      </c>
      <c r="AH67" s="57" t="str">
        <f t="shared" si="14"/>
        <v/>
      </c>
      <c r="AI67" s="57" t="str">
        <f t="shared" si="23"/>
        <v/>
      </c>
      <c r="AJ67" s="57" t="str">
        <f t="shared" si="15"/>
        <v/>
      </c>
      <c r="AK67" s="57" t="str">
        <f t="shared" si="24"/>
        <v/>
      </c>
    </row>
    <row r="68" spans="1:37">
      <c r="A68" s="2" t="str">
        <f t="shared" si="16"/>
        <v/>
      </c>
      <c r="B68" s="10" t="str">
        <f t="shared" si="3"/>
        <v/>
      </c>
      <c r="C68" s="18" t="str">
        <f t="shared" si="4"/>
        <v/>
      </c>
      <c r="D68" s="4" t="str">
        <f t="shared" si="17"/>
        <v/>
      </c>
      <c r="E68" s="4" t="str">
        <f t="shared" si="5"/>
        <v/>
      </c>
      <c r="F68" s="4" t="str">
        <f t="shared" si="6"/>
        <v/>
      </c>
      <c r="G68" s="4" t="str">
        <f t="shared" si="7"/>
        <v/>
      </c>
      <c r="H68" s="4"/>
      <c r="I68" s="4"/>
      <c r="J68" s="4"/>
      <c r="K68" s="4"/>
      <c r="L68" s="4" t="str">
        <f>IF(A68="","",IF(ISERROR(VLOOKUP(A68,'pagos anticipados'!$A$2:$B$5,2,FALSE)),0,VLOOKUP(A68,'pagos anticipados'!$A$2:B66,2,FALSE)))</f>
        <v/>
      </c>
      <c r="M68" s="4" t="str">
        <f t="shared" si="0"/>
        <v/>
      </c>
      <c r="N68" s="1">
        <f t="shared" si="1"/>
        <v>0</v>
      </c>
      <c r="Q68" s="44" t="str">
        <f t="shared" si="8"/>
        <v/>
      </c>
      <c r="R68" s="44" t="str">
        <f t="shared" si="18"/>
        <v/>
      </c>
      <c r="S68" s="44" t="str">
        <f t="shared" si="9"/>
        <v/>
      </c>
      <c r="U68" s="42" t="str">
        <f t="shared" si="19"/>
        <v/>
      </c>
      <c r="V68" s="41" t="str">
        <f t="shared" si="20"/>
        <v/>
      </c>
      <c r="W68" s="41" t="str">
        <f t="shared" si="10"/>
        <v/>
      </c>
      <c r="Y68" s="35" t="str">
        <f t="shared" si="11"/>
        <v/>
      </c>
      <c r="Z68" s="34" t="str">
        <f t="shared" si="21"/>
        <v/>
      </c>
      <c r="AA68" s="34" t="str">
        <f t="shared" si="2"/>
        <v/>
      </c>
      <c r="AC68" s="36" t="str">
        <f t="shared" si="12"/>
        <v/>
      </c>
      <c r="AE68" s="37">
        <f t="shared" si="13"/>
        <v>0</v>
      </c>
      <c r="AG68" s="56" t="str">
        <f t="shared" si="22"/>
        <v/>
      </c>
      <c r="AH68" s="57" t="str">
        <f t="shared" si="14"/>
        <v/>
      </c>
      <c r="AI68" s="57" t="str">
        <f t="shared" si="23"/>
        <v/>
      </c>
      <c r="AJ68" s="57" t="str">
        <f t="shared" si="15"/>
        <v/>
      </c>
      <c r="AK68" s="57" t="str">
        <f t="shared" si="24"/>
        <v/>
      </c>
    </row>
    <row r="69" spans="1:37">
      <c r="A69" s="2" t="str">
        <f t="shared" si="16"/>
        <v/>
      </c>
      <c r="B69" s="10" t="str">
        <f t="shared" si="3"/>
        <v/>
      </c>
      <c r="C69" s="18" t="str">
        <f t="shared" si="4"/>
        <v/>
      </c>
      <c r="D69" s="4" t="str">
        <f t="shared" si="17"/>
        <v/>
      </c>
      <c r="E69" s="4" t="str">
        <f t="shared" si="5"/>
        <v/>
      </c>
      <c r="F69" s="4" t="str">
        <f t="shared" si="6"/>
        <v/>
      </c>
      <c r="G69" s="4" t="str">
        <f t="shared" si="7"/>
        <v/>
      </c>
      <c r="H69" s="4"/>
      <c r="I69" s="4"/>
      <c r="J69" s="4"/>
      <c r="K69" s="4"/>
      <c r="L69" s="4" t="str">
        <f>IF(A69="","",IF(ISERROR(VLOOKUP(A69,'pagos anticipados'!$A$2:$B$5,2,FALSE)),0,VLOOKUP(A69,'pagos anticipados'!$A$2:B67,2,FALSE)))</f>
        <v/>
      </c>
      <c r="M69" s="4" t="str">
        <f t="shared" si="0"/>
        <v/>
      </c>
      <c r="N69" s="1">
        <f t="shared" si="1"/>
        <v>0</v>
      </c>
      <c r="Q69" s="44" t="str">
        <f t="shared" si="8"/>
        <v/>
      </c>
      <c r="R69" s="44" t="str">
        <f t="shared" si="18"/>
        <v/>
      </c>
      <c r="S69" s="44" t="str">
        <f t="shared" si="9"/>
        <v/>
      </c>
      <c r="U69" s="42" t="str">
        <f t="shared" si="19"/>
        <v/>
      </c>
      <c r="V69" s="41" t="str">
        <f t="shared" si="20"/>
        <v/>
      </c>
      <c r="W69" s="41" t="str">
        <f t="shared" si="10"/>
        <v/>
      </c>
      <c r="Y69" s="35" t="str">
        <f t="shared" si="11"/>
        <v/>
      </c>
      <c r="Z69" s="34" t="str">
        <f t="shared" si="21"/>
        <v/>
      </c>
      <c r="AA69" s="34" t="str">
        <f t="shared" si="2"/>
        <v/>
      </c>
      <c r="AC69" s="36" t="str">
        <f t="shared" si="12"/>
        <v/>
      </c>
      <c r="AE69" s="37">
        <f t="shared" si="13"/>
        <v>0</v>
      </c>
      <c r="AG69" s="56" t="str">
        <f t="shared" si="22"/>
        <v/>
      </c>
      <c r="AH69" s="57" t="str">
        <f t="shared" si="14"/>
        <v/>
      </c>
      <c r="AI69" s="57" t="str">
        <f t="shared" si="23"/>
        <v/>
      </c>
      <c r="AJ69" s="57" t="str">
        <f t="shared" si="15"/>
        <v/>
      </c>
      <c r="AK69" s="57" t="str">
        <f t="shared" si="24"/>
        <v/>
      </c>
    </row>
    <row r="70" spans="1:37">
      <c r="A70" s="2" t="str">
        <f t="shared" si="16"/>
        <v/>
      </c>
      <c r="B70" s="10" t="str">
        <f t="shared" si="3"/>
        <v/>
      </c>
      <c r="C70" s="18" t="str">
        <f t="shared" si="4"/>
        <v/>
      </c>
      <c r="D70" s="4" t="str">
        <f t="shared" si="17"/>
        <v/>
      </c>
      <c r="E70" s="4" t="str">
        <f t="shared" si="5"/>
        <v/>
      </c>
      <c r="F70" s="4" t="str">
        <f t="shared" si="6"/>
        <v/>
      </c>
      <c r="G70" s="4" t="str">
        <f t="shared" si="7"/>
        <v/>
      </c>
      <c r="H70" s="4"/>
      <c r="I70" s="4"/>
      <c r="J70" s="4"/>
      <c r="K70" s="4"/>
      <c r="L70" s="4" t="str">
        <f>IF(A70="","",IF(ISERROR(VLOOKUP(A70,'pagos anticipados'!$A$2:$B$5,2,FALSE)),0,VLOOKUP(A70,'pagos anticipados'!$A$2:B68,2,FALSE)))</f>
        <v/>
      </c>
      <c r="M70" s="4" t="str">
        <f t="shared" si="0"/>
        <v/>
      </c>
      <c r="N70" s="1">
        <f t="shared" si="1"/>
        <v>0</v>
      </c>
      <c r="Q70" s="44" t="str">
        <f t="shared" si="8"/>
        <v/>
      </c>
      <c r="R70" s="44" t="str">
        <f t="shared" si="18"/>
        <v/>
      </c>
      <c r="S70" s="44" t="str">
        <f t="shared" si="9"/>
        <v/>
      </c>
      <c r="U70" s="42" t="str">
        <f t="shared" si="19"/>
        <v/>
      </c>
      <c r="V70" s="41" t="str">
        <f t="shared" si="20"/>
        <v/>
      </c>
      <c r="W70" s="41" t="str">
        <f t="shared" si="10"/>
        <v/>
      </c>
      <c r="Y70" s="35" t="str">
        <f t="shared" si="11"/>
        <v/>
      </c>
      <c r="Z70" s="34" t="str">
        <f t="shared" si="21"/>
        <v/>
      </c>
      <c r="AA70" s="34" t="str">
        <f t="shared" si="2"/>
        <v/>
      </c>
      <c r="AC70" s="36" t="str">
        <f t="shared" si="12"/>
        <v/>
      </c>
      <c r="AE70" s="37">
        <f t="shared" si="13"/>
        <v>0</v>
      </c>
      <c r="AG70" s="56" t="str">
        <f t="shared" si="22"/>
        <v/>
      </c>
      <c r="AH70" s="57" t="str">
        <f t="shared" si="14"/>
        <v/>
      </c>
      <c r="AI70" s="57" t="str">
        <f t="shared" si="23"/>
        <v/>
      </c>
      <c r="AJ70" s="57" t="str">
        <f t="shared" si="15"/>
        <v/>
      </c>
      <c r="AK70" s="57" t="str">
        <f t="shared" si="24"/>
        <v/>
      </c>
    </row>
    <row r="71" spans="1:37">
      <c r="A71" s="2" t="str">
        <f t="shared" si="16"/>
        <v/>
      </c>
      <c r="B71" s="10" t="str">
        <f t="shared" si="3"/>
        <v/>
      </c>
      <c r="C71" s="18" t="str">
        <f t="shared" si="4"/>
        <v/>
      </c>
      <c r="D71" s="4" t="str">
        <f t="shared" si="17"/>
        <v/>
      </c>
      <c r="E71" s="4" t="str">
        <f t="shared" si="5"/>
        <v/>
      </c>
      <c r="F71" s="4" t="str">
        <f t="shared" si="6"/>
        <v/>
      </c>
      <c r="G71" s="4" t="str">
        <f t="shared" si="7"/>
        <v/>
      </c>
      <c r="H71" s="4"/>
      <c r="I71" s="4"/>
      <c r="J71" s="4"/>
      <c r="K71" s="4"/>
      <c r="L71" s="4" t="str">
        <f>IF(A71="","",IF(ISERROR(VLOOKUP(A71,'pagos anticipados'!$A$2:$B$5,2,FALSE)),0,VLOOKUP(A71,'pagos anticipados'!$A$2:B69,2,FALSE)))</f>
        <v/>
      </c>
      <c r="M71" s="4" t="str">
        <f t="shared" ref="M71:M134" si="25">IF(A71="","",AK72-AJ72)</f>
        <v/>
      </c>
      <c r="N71" s="1">
        <f t="shared" ref="N71:N134" si="26">IF(A71="",0,+Q71/(1+$O$5)^(A71/No_pagos_al_año))</f>
        <v>0</v>
      </c>
      <c r="Q71" s="44" t="str">
        <f t="shared" si="8"/>
        <v/>
      </c>
      <c r="R71" s="44" t="str">
        <f t="shared" si="18"/>
        <v/>
      </c>
      <c r="S71" s="44" t="str">
        <f t="shared" si="9"/>
        <v/>
      </c>
      <c r="U71" s="42" t="str">
        <f t="shared" si="19"/>
        <v/>
      </c>
      <c r="V71" s="41" t="str">
        <f t="shared" si="20"/>
        <v/>
      </c>
      <c r="W71" s="41" t="str">
        <f t="shared" ref="W71:W134" si="27">IF(A71="","",IF(PAGO_FIJO&gt;R71,R71,PAGO_FIJO-V71))</f>
        <v/>
      </c>
      <c r="Y71" s="35" t="str">
        <f t="shared" si="11"/>
        <v/>
      </c>
      <c r="Z71" s="34" t="str">
        <f t="shared" si="21"/>
        <v/>
      </c>
      <c r="AA71" s="34" t="str">
        <f t="shared" ref="AA71:AA134" si="28">IF(A71="","",+Z71-F71-G71)</f>
        <v/>
      </c>
      <c r="AC71" s="36" t="str">
        <f t="shared" si="12"/>
        <v/>
      </c>
      <c r="AE71" s="37">
        <f t="shared" si="13"/>
        <v>0</v>
      </c>
      <c r="AG71" s="56" t="str">
        <f t="shared" si="22"/>
        <v/>
      </c>
      <c r="AH71" s="57" t="str">
        <f t="shared" si="14"/>
        <v/>
      </c>
      <c r="AI71" s="57" t="str">
        <f t="shared" si="23"/>
        <v/>
      </c>
      <c r="AJ71" s="57" t="str">
        <f t="shared" si="15"/>
        <v/>
      </c>
      <c r="AK71" s="57" t="str">
        <f t="shared" si="24"/>
        <v/>
      </c>
    </row>
    <row r="72" spans="1:37">
      <c r="A72" s="2" t="str">
        <f t="shared" si="16"/>
        <v/>
      </c>
      <c r="B72" s="10" t="str">
        <f t="shared" ref="B72:B135" si="29">IF(A72="","",IF($A$2="mensual",30,IF($A$2="quincenal",15,IF($A$2="catorcenal",14,IF($A$2="decenal",10,IF($A$2="semanal",7))))))</f>
        <v/>
      </c>
      <c r="C72" s="18" t="str">
        <f t="shared" ref="C72:C135" si="30">IF(A72="","",$D$2/360*B72)</f>
        <v/>
      </c>
      <c r="D72" s="4" t="str">
        <f t="shared" si="17"/>
        <v/>
      </c>
      <c r="E72" s="4" t="str">
        <f t="shared" ref="E72:E135" si="31">IF(A72="","",IF(S72&gt;R72,R72,IF(AND($L$368=0,D73&lt;=0),R72,S72)))</f>
        <v/>
      </c>
      <c r="F72" s="4" t="str">
        <f t="shared" ref="F72:F135" si="32">IF(A72="","",D72*C72)</f>
        <v/>
      </c>
      <c r="G72" s="4" t="str">
        <f t="shared" ref="G72:G135" si="33">IF(A72="","",F72*$F$2)</f>
        <v/>
      </c>
      <c r="H72" s="4"/>
      <c r="I72" s="4"/>
      <c r="J72" s="4"/>
      <c r="K72" s="4"/>
      <c r="L72" s="4" t="str">
        <f>IF(A72="","",IF(ISERROR(VLOOKUP(A72,'pagos anticipados'!$A$2:$B$5,2,FALSE)),0,VLOOKUP(A72,'pagos anticipados'!$A$2:B70,2,FALSE)))</f>
        <v/>
      </c>
      <c r="M72" s="4" t="str">
        <f t="shared" si="25"/>
        <v/>
      </c>
      <c r="N72" s="1">
        <f t="shared" si="26"/>
        <v>0</v>
      </c>
      <c r="Q72" s="44" t="str">
        <f t="shared" ref="Q72:Q135" si="34">IF(A72="","",AK73-AJ73)</f>
        <v/>
      </c>
      <c r="R72" s="44" t="str">
        <f t="shared" si="18"/>
        <v/>
      </c>
      <c r="S72" s="44" t="str">
        <f t="shared" ref="S72:S135" si="35">IF(A72="","",IF($G$2="PLAZO Y PAGO",W72,IF($G$2="PAGO",AA72,IF($G$2="PLAZO",AC72,0))))</f>
        <v/>
      </c>
      <c r="U72" s="42" t="str">
        <f t="shared" si="19"/>
        <v/>
      </c>
      <c r="V72" s="41" t="str">
        <f t="shared" si="20"/>
        <v/>
      </c>
      <c r="W72" s="41" t="str">
        <f t="shared" si="27"/>
        <v/>
      </c>
      <c r="Y72" s="35" t="str">
        <f t="shared" ref="Y72:Y135" si="36">IF(A72="","",Y71-1)</f>
        <v/>
      </c>
      <c r="Z72" s="34" t="str">
        <f t="shared" si="21"/>
        <v/>
      </c>
      <c r="AA72" s="34" t="str">
        <f t="shared" si="28"/>
        <v/>
      </c>
      <c r="AC72" s="36" t="str">
        <f t="shared" ref="AC72:AC135" si="37">IF(A72="","",PAGO_FIJO-F72-G72)</f>
        <v/>
      </c>
      <c r="AE72" s="37">
        <f t="shared" ref="AE72:AE135" si="38">IF(AND(A72&lt;=Total_pagos,D72&gt;0),1,0)</f>
        <v>0</v>
      </c>
      <c r="AG72" s="56" t="str">
        <f t="shared" si="22"/>
        <v/>
      </c>
      <c r="AH72" s="57" t="str">
        <f t="shared" ref="AH72:AH135" si="39">IF(A71="","",+AG72*Tasa_del_período_sin_iva)</f>
        <v/>
      </c>
      <c r="AI72" s="57" t="str">
        <f t="shared" si="23"/>
        <v/>
      </c>
      <c r="AJ72" s="57" t="str">
        <f t="shared" ref="AJ72:AJ135" si="40">IF(A71="","",AH72*I.V.A.)</f>
        <v/>
      </c>
      <c r="AK72" s="57" t="str">
        <f t="shared" si="24"/>
        <v/>
      </c>
    </row>
    <row r="73" spans="1:37">
      <c r="A73" s="2" t="str">
        <f t="shared" ref="A73:A136" si="41">IF(OR(A72&gt;=$K$4,A72=""),"",A72+1)</f>
        <v/>
      </c>
      <c r="B73" s="10" t="str">
        <f t="shared" si="29"/>
        <v/>
      </c>
      <c r="C73" s="18" t="str">
        <f t="shared" si="30"/>
        <v/>
      </c>
      <c r="D73" s="4" t="str">
        <f t="shared" ref="D73:D136" si="42">IF(A73="","",R73)</f>
        <v/>
      </c>
      <c r="E73" s="4" t="str">
        <f t="shared" si="31"/>
        <v/>
      </c>
      <c r="F73" s="4" t="str">
        <f t="shared" si="32"/>
        <v/>
      </c>
      <c r="G73" s="4" t="str">
        <f t="shared" si="33"/>
        <v/>
      </c>
      <c r="H73" s="4"/>
      <c r="I73" s="4"/>
      <c r="J73" s="4"/>
      <c r="K73" s="4"/>
      <c r="L73" s="4" t="str">
        <f>IF(A73="","",IF(ISERROR(VLOOKUP(A73,'pagos anticipados'!$A$2:$B$5,2,FALSE)),0,VLOOKUP(A73,'pagos anticipados'!$A$2:B71,2,FALSE)))</f>
        <v/>
      </c>
      <c r="M73" s="4" t="str">
        <f t="shared" si="25"/>
        <v/>
      </c>
      <c r="N73" s="1">
        <f t="shared" si="26"/>
        <v>0</v>
      </c>
      <c r="Q73" s="44" t="str">
        <f t="shared" si="34"/>
        <v/>
      </c>
      <c r="R73" s="44" t="str">
        <f t="shared" ref="R73:R136" si="43">IF(A73="","",IF((R72-S72-L72)&lt;=0,0,(+R72-S72-L72)))</f>
        <v/>
      </c>
      <c r="S73" s="44" t="str">
        <f t="shared" si="35"/>
        <v/>
      </c>
      <c r="U73" s="42" t="str">
        <f t="shared" ref="U73:U136" si="44">IF(A73="","",U72-(PAGO_FIJO-V72))</f>
        <v/>
      </c>
      <c r="V73" s="41" t="str">
        <f t="shared" ref="V73:V136" si="45">IF(A73="","",+U73*Tasa_del_período_sin_iva*(1+I.V.A.))</f>
        <v/>
      </c>
      <c r="W73" s="41" t="str">
        <f t="shared" si="27"/>
        <v/>
      </c>
      <c r="Y73" s="35" t="str">
        <f t="shared" si="36"/>
        <v/>
      </c>
      <c r="Z73" s="34" t="str">
        <f t="shared" ref="Z73:Z136" si="46">IF(A73="","",IF(L72=0,Z72,PMT((Tasa_anual_sin_iva*(1+I.V.A.))/No_pagos_al_año,Y73,-R73)-(R73*(Tasa_anual_sin_iva*(1+I.V.A.))/No_pagos_al_año)+(R73*Tasa_del_período_sin_iva*(1+I.V.A.))))</f>
        <v/>
      </c>
      <c r="AA73" s="34" t="str">
        <f t="shared" si="28"/>
        <v/>
      </c>
      <c r="AC73" s="36" t="str">
        <f t="shared" si="37"/>
        <v/>
      </c>
      <c r="AE73" s="37">
        <f t="shared" si="38"/>
        <v>0</v>
      </c>
      <c r="AG73" s="56" t="str">
        <f t="shared" ref="AG73:AG136" si="47">IF(A72="","",AG72-AI72)</f>
        <v/>
      </c>
      <c r="AH73" s="57" t="str">
        <f t="shared" si="39"/>
        <v/>
      </c>
      <c r="AI73" s="57" t="str">
        <f t="shared" ref="AI73:AI136" si="48">IF(A72="","",IF($AK$8-AH73-AJ73&gt;AG73,AG73,$AK$8-AH73-AJ73))</f>
        <v/>
      </c>
      <c r="AJ73" s="57" t="str">
        <f t="shared" si="40"/>
        <v/>
      </c>
      <c r="AK73" s="57" t="str">
        <f t="shared" ref="AK73:AK136" si="49">IF(A72="","",+AH73+AI73+AJ73)</f>
        <v/>
      </c>
    </row>
    <row r="74" spans="1:37">
      <c r="A74" s="2" t="str">
        <f t="shared" si="41"/>
        <v/>
      </c>
      <c r="B74" s="10" t="str">
        <f t="shared" si="29"/>
        <v/>
      </c>
      <c r="C74" s="18" t="str">
        <f t="shared" si="30"/>
        <v/>
      </c>
      <c r="D74" s="4" t="str">
        <f t="shared" si="42"/>
        <v/>
      </c>
      <c r="E74" s="4" t="str">
        <f t="shared" si="31"/>
        <v/>
      </c>
      <c r="F74" s="4" t="str">
        <f t="shared" si="32"/>
        <v/>
      </c>
      <c r="G74" s="4" t="str">
        <f t="shared" si="33"/>
        <v/>
      </c>
      <c r="H74" s="4"/>
      <c r="I74" s="4"/>
      <c r="J74" s="4"/>
      <c r="K74" s="4"/>
      <c r="L74" s="4" t="str">
        <f>IF(A74="","",IF(ISERROR(VLOOKUP(A74,'pagos anticipados'!$A$2:$B$5,2,FALSE)),0,VLOOKUP(A74,'pagos anticipados'!$A$2:B72,2,FALSE)))</f>
        <v/>
      </c>
      <c r="M74" s="4" t="str">
        <f t="shared" si="25"/>
        <v/>
      </c>
      <c r="N74" s="1">
        <f t="shared" si="26"/>
        <v>0</v>
      </c>
      <c r="Q74" s="44" t="str">
        <f t="shared" si="34"/>
        <v/>
      </c>
      <c r="R74" s="44" t="str">
        <f t="shared" si="43"/>
        <v/>
      </c>
      <c r="S74" s="44" t="str">
        <f t="shared" si="35"/>
        <v/>
      </c>
      <c r="U74" s="42" t="str">
        <f t="shared" si="44"/>
        <v/>
      </c>
      <c r="V74" s="41" t="str">
        <f t="shared" si="45"/>
        <v/>
      </c>
      <c r="W74" s="41" t="str">
        <f t="shared" si="27"/>
        <v/>
      </c>
      <c r="Y74" s="35" t="str">
        <f t="shared" si="36"/>
        <v/>
      </c>
      <c r="Z74" s="34" t="str">
        <f t="shared" si="46"/>
        <v/>
      </c>
      <c r="AA74" s="34" t="str">
        <f t="shared" si="28"/>
        <v/>
      </c>
      <c r="AC74" s="36" t="str">
        <f t="shared" si="37"/>
        <v/>
      </c>
      <c r="AE74" s="37">
        <f t="shared" si="38"/>
        <v>0</v>
      </c>
      <c r="AG74" s="56" t="str">
        <f t="shared" si="47"/>
        <v/>
      </c>
      <c r="AH74" s="57" t="str">
        <f t="shared" si="39"/>
        <v/>
      </c>
      <c r="AI74" s="57" t="str">
        <f t="shared" si="48"/>
        <v/>
      </c>
      <c r="AJ74" s="57" t="str">
        <f t="shared" si="40"/>
        <v/>
      </c>
      <c r="AK74" s="57" t="str">
        <f t="shared" si="49"/>
        <v/>
      </c>
    </row>
    <row r="75" spans="1:37">
      <c r="A75" s="2" t="str">
        <f t="shared" si="41"/>
        <v/>
      </c>
      <c r="B75" s="10" t="str">
        <f t="shared" si="29"/>
        <v/>
      </c>
      <c r="C75" s="18" t="str">
        <f t="shared" si="30"/>
        <v/>
      </c>
      <c r="D75" s="4" t="str">
        <f t="shared" si="42"/>
        <v/>
      </c>
      <c r="E75" s="4" t="str">
        <f t="shared" si="31"/>
        <v/>
      </c>
      <c r="F75" s="4" t="str">
        <f t="shared" si="32"/>
        <v/>
      </c>
      <c r="G75" s="4" t="str">
        <f t="shared" si="33"/>
        <v/>
      </c>
      <c r="H75" s="4"/>
      <c r="I75" s="4"/>
      <c r="J75" s="4"/>
      <c r="K75" s="4"/>
      <c r="L75" s="4" t="str">
        <f>IF(A75="","",IF(ISERROR(VLOOKUP(A75,'pagos anticipados'!$A$2:$B$5,2,FALSE)),0,VLOOKUP(A75,'pagos anticipados'!$A$2:B73,2,FALSE)))</f>
        <v/>
      </c>
      <c r="M75" s="4" t="str">
        <f t="shared" si="25"/>
        <v/>
      </c>
      <c r="N75" s="1">
        <f t="shared" si="26"/>
        <v>0</v>
      </c>
      <c r="Q75" s="44" t="str">
        <f t="shared" si="34"/>
        <v/>
      </c>
      <c r="R75" s="44" t="str">
        <f t="shared" si="43"/>
        <v/>
      </c>
      <c r="S75" s="44" t="str">
        <f t="shared" si="35"/>
        <v/>
      </c>
      <c r="U75" s="42" t="str">
        <f t="shared" si="44"/>
        <v/>
      </c>
      <c r="V75" s="41" t="str">
        <f t="shared" si="45"/>
        <v/>
      </c>
      <c r="W75" s="41" t="str">
        <f t="shared" si="27"/>
        <v/>
      </c>
      <c r="Y75" s="35" t="str">
        <f t="shared" si="36"/>
        <v/>
      </c>
      <c r="Z75" s="34" t="str">
        <f t="shared" si="46"/>
        <v/>
      </c>
      <c r="AA75" s="34" t="str">
        <f t="shared" si="28"/>
        <v/>
      </c>
      <c r="AC75" s="36" t="str">
        <f t="shared" si="37"/>
        <v/>
      </c>
      <c r="AE75" s="37">
        <f t="shared" si="38"/>
        <v>0</v>
      </c>
      <c r="AG75" s="56" t="str">
        <f t="shared" si="47"/>
        <v/>
      </c>
      <c r="AH75" s="57" t="str">
        <f t="shared" si="39"/>
        <v/>
      </c>
      <c r="AI75" s="57" t="str">
        <f t="shared" si="48"/>
        <v/>
      </c>
      <c r="AJ75" s="57" t="str">
        <f t="shared" si="40"/>
        <v/>
      </c>
      <c r="AK75" s="57" t="str">
        <f t="shared" si="49"/>
        <v/>
      </c>
    </row>
    <row r="76" spans="1:37">
      <c r="A76" s="2" t="str">
        <f t="shared" si="41"/>
        <v/>
      </c>
      <c r="B76" s="10" t="str">
        <f t="shared" si="29"/>
        <v/>
      </c>
      <c r="C76" s="18" t="str">
        <f t="shared" si="30"/>
        <v/>
      </c>
      <c r="D76" s="4" t="str">
        <f t="shared" si="42"/>
        <v/>
      </c>
      <c r="E76" s="4" t="str">
        <f t="shared" si="31"/>
        <v/>
      </c>
      <c r="F76" s="4" t="str">
        <f t="shared" si="32"/>
        <v/>
      </c>
      <c r="G76" s="4" t="str">
        <f t="shared" si="33"/>
        <v/>
      </c>
      <c r="H76" s="4"/>
      <c r="I76" s="4"/>
      <c r="J76" s="4"/>
      <c r="K76" s="4"/>
      <c r="L76" s="4" t="str">
        <f>IF(A76="","",IF(ISERROR(VLOOKUP(A76,'pagos anticipados'!$A$2:$B$5,2,FALSE)),0,VLOOKUP(A76,'pagos anticipados'!$A$2:B74,2,FALSE)))</f>
        <v/>
      </c>
      <c r="M76" s="4" t="str">
        <f t="shared" si="25"/>
        <v/>
      </c>
      <c r="N76" s="1">
        <f t="shared" si="26"/>
        <v>0</v>
      </c>
      <c r="Q76" s="44" t="str">
        <f t="shared" si="34"/>
        <v/>
      </c>
      <c r="R76" s="44" t="str">
        <f t="shared" si="43"/>
        <v/>
      </c>
      <c r="S76" s="44" t="str">
        <f t="shared" si="35"/>
        <v/>
      </c>
      <c r="U76" s="42" t="str">
        <f t="shared" si="44"/>
        <v/>
      </c>
      <c r="V76" s="41" t="str">
        <f t="shared" si="45"/>
        <v/>
      </c>
      <c r="W76" s="41" t="str">
        <f t="shared" si="27"/>
        <v/>
      </c>
      <c r="Y76" s="35" t="str">
        <f t="shared" si="36"/>
        <v/>
      </c>
      <c r="Z76" s="34" t="str">
        <f t="shared" si="46"/>
        <v/>
      </c>
      <c r="AA76" s="34" t="str">
        <f t="shared" si="28"/>
        <v/>
      </c>
      <c r="AC76" s="36" t="str">
        <f t="shared" si="37"/>
        <v/>
      </c>
      <c r="AE76" s="37">
        <f t="shared" si="38"/>
        <v>0</v>
      </c>
      <c r="AG76" s="56" t="str">
        <f t="shared" si="47"/>
        <v/>
      </c>
      <c r="AH76" s="57" t="str">
        <f t="shared" si="39"/>
        <v/>
      </c>
      <c r="AI76" s="57" t="str">
        <f t="shared" si="48"/>
        <v/>
      </c>
      <c r="AJ76" s="57" t="str">
        <f t="shared" si="40"/>
        <v/>
      </c>
      <c r="AK76" s="57" t="str">
        <f t="shared" si="49"/>
        <v/>
      </c>
    </row>
    <row r="77" spans="1:37">
      <c r="A77" s="2" t="str">
        <f t="shared" si="41"/>
        <v/>
      </c>
      <c r="B77" s="10" t="str">
        <f t="shared" si="29"/>
        <v/>
      </c>
      <c r="C77" s="18" t="str">
        <f t="shared" si="30"/>
        <v/>
      </c>
      <c r="D77" s="4" t="str">
        <f t="shared" si="42"/>
        <v/>
      </c>
      <c r="E77" s="4" t="str">
        <f t="shared" si="31"/>
        <v/>
      </c>
      <c r="F77" s="4" t="str">
        <f t="shared" si="32"/>
        <v/>
      </c>
      <c r="G77" s="4" t="str">
        <f t="shared" si="33"/>
        <v/>
      </c>
      <c r="H77" s="4"/>
      <c r="I77" s="4"/>
      <c r="J77" s="4"/>
      <c r="K77" s="4"/>
      <c r="L77" s="4" t="str">
        <f>IF(A77="","",IF(ISERROR(VLOOKUP(A77,'pagos anticipados'!$A$2:$B$5,2,FALSE)),0,VLOOKUP(A77,'pagos anticipados'!$A$2:B75,2,FALSE)))</f>
        <v/>
      </c>
      <c r="M77" s="4" t="str">
        <f t="shared" si="25"/>
        <v/>
      </c>
      <c r="N77" s="1">
        <f t="shared" si="26"/>
        <v>0</v>
      </c>
      <c r="Q77" s="44" t="str">
        <f t="shared" si="34"/>
        <v/>
      </c>
      <c r="R77" s="44" t="str">
        <f t="shared" si="43"/>
        <v/>
      </c>
      <c r="S77" s="44" t="str">
        <f t="shared" si="35"/>
        <v/>
      </c>
      <c r="U77" s="42" t="str">
        <f t="shared" si="44"/>
        <v/>
      </c>
      <c r="V77" s="41" t="str">
        <f t="shared" si="45"/>
        <v/>
      </c>
      <c r="W77" s="41" t="str">
        <f t="shared" si="27"/>
        <v/>
      </c>
      <c r="Y77" s="35" t="str">
        <f t="shared" si="36"/>
        <v/>
      </c>
      <c r="Z77" s="34" t="str">
        <f t="shared" si="46"/>
        <v/>
      </c>
      <c r="AA77" s="34" t="str">
        <f t="shared" si="28"/>
        <v/>
      </c>
      <c r="AC77" s="36" t="str">
        <f t="shared" si="37"/>
        <v/>
      </c>
      <c r="AE77" s="37">
        <f t="shared" si="38"/>
        <v>0</v>
      </c>
      <c r="AG77" s="56" t="str">
        <f t="shared" si="47"/>
        <v/>
      </c>
      <c r="AH77" s="57" t="str">
        <f t="shared" si="39"/>
        <v/>
      </c>
      <c r="AI77" s="57" t="str">
        <f t="shared" si="48"/>
        <v/>
      </c>
      <c r="AJ77" s="57" t="str">
        <f t="shared" si="40"/>
        <v/>
      </c>
      <c r="AK77" s="57" t="str">
        <f t="shared" si="49"/>
        <v/>
      </c>
    </row>
    <row r="78" spans="1:37">
      <c r="A78" s="2" t="str">
        <f t="shared" si="41"/>
        <v/>
      </c>
      <c r="B78" s="10" t="str">
        <f t="shared" si="29"/>
        <v/>
      </c>
      <c r="C78" s="18" t="str">
        <f t="shared" si="30"/>
        <v/>
      </c>
      <c r="D78" s="4" t="str">
        <f t="shared" si="42"/>
        <v/>
      </c>
      <c r="E78" s="4" t="str">
        <f t="shared" si="31"/>
        <v/>
      </c>
      <c r="F78" s="4" t="str">
        <f t="shared" si="32"/>
        <v/>
      </c>
      <c r="G78" s="4" t="str">
        <f t="shared" si="33"/>
        <v/>
      </c>
      <c r="H78" s="4"/>
      <c r="I78" s="4"/>
      <c r="J78" s="4"/>
      <c r="K78" s="4"/>
      <c r="L78" s="4" t="str">
        <f>IF(A78="","",IF(ISERROR(VLOOKUP(A78,'pagos anticipados'!$A$2:$B$5,2,FALSE)),0,VLOOKUP(A78,'pagos anticipados'!$A$2:B76,2,FALSE)))</f>
        <v/>
      </c>
      <c r="M78" s="4" t="str">
        <f t="shared" si="25"/>
        <v/>
      </c>
      <c r="N78" s="1">
        <f t="shared" si="26"/>
        <v>0</v>
      </c>
      <c r="Q78" s="44" t="str">
        <f t="shared" si="34"/>
        <v/>
      </c>
      <c r="R78" s="44" t="str">
        <f t="shared" si="43"/>
        <v/>
      </c>
      <c r="S78" s="44" t="str">
        <f t="shared" si="35"/>
        <v/>
      </c>
      <c r="U78" s="42" t="str">
        <f t="shared" si="44"/>
        <v/>
      </c>
      <c r="V78" s="41" t="str">
        <f t="shared" si="45"/>
        <v/>
      </c>
      <c r="W78" s="41" t="str">
        <f t="shared" si="27"/>
        <v/>
      </c>
      <c r="Y78" s="35" t="str">
        <f t="shared" si="36"/>
        <v/>
      </c>
      <c r="Z78" s="34" t="str">
        <f t="shared" si="46"/>
        <v/>
      </c>
      <c r="AA78" s="34" t="str">
        <f t="shared" si="28"/>
        <v/>
      </c>
      <c r="AC78" s="36" t="str">
        <f t="shared" si="37"/>
        <v/>
      </c>
      <c r="AE78" s="37">
        <f t="shared" si="38"/>
        <v>0</v>
      </c>
      <c r="AG78" s="56" t="str">
        <f t="shared" si="47"/>
        <v/>
      </c>
      <c r="AH78" s="57" t="str">
        <f t="shared" si="39"/>
        <v/>
      </c>
      <c r="AI78" s="57" t="str">
        <f t="shared" si="48"/>
        <v/>
      </c>
      <c r="AJ78" s="57" t="str">
        <f t="shared" si="40"/>
        <v/>
      </c>
      <c r="AK78" s="57" t="str">
        <f t="shared" si="49"/>
        <v/>
      </c>
    </row>
    <row r="79" spans="1:37">
      <c r="A79" s="2" t="str">
        <f t="shared" si="41"/>
        <v/>
      </c>
      <c r="B79" s="10" t="str">
        <f t="shared" si="29"/>
        <v/>
      </c>
      <c r="C79" s="18" t="str">
        <f t="shared" si="30"/>
        <v/>
      </c>
      <c r="D79" s="4" t="str">
        <f t="shared" si="42"/>
        <v/>
      </c>
      <c r="E79" s="4" t="str">
        <f t="shared" si="31"/>
        <v/>
      </c>
      <c r="F79" s="4" t="str">
        <f t="shared" si="32"/>
        <v/>
      </c>
      <c r="G79" s="4" t="str">
        <f t="shared" si="33"/>
        <v/>
      </c>
      <c r="H79" s="4"/>
      <c r="I79" s="4"/>
      <c r="J79" s="4"/>
      <c r="K79" s="4"/>
      <c r="L79" s="4" t="str">
        <f>IF(A79="","",IF(ISERROR(VLOOKUP(A79,'pagos anticipados'!$A$2:$B$5,2,FALSE)),0,VLOOKUP(A79,'pagos anticipados'!$A$2:B77,2,FALSE)))</f>
        <v/>
      </c>
      <c r="M79" s="4" t="str">
        <f t="shared" si="25"/>
        <v/>
      </c>
      <c r="N79" s="1">
        <f t="shared" si="26"/>
        <v>0</v>
      </c>
      <c r="Q79" s="44" t="str">
        <f t="shared" si="34"/>
        <v/>
      </c>
      <c r="R79" s="44" t="str">
        <f t="shared" si="43"/>
        <v/>
      </c>
      <c r="S79" s="44" t="str">
        <f t="shared" si="35"/>
        <v/>
      </c>
      <c r="U79" s="42" t="str">
        <f t="shared" si="44"/>
        <v/>
      </c>
      <c r="V79" s="41" t="str">
        <f t="shared" si="45"/>
        <v/>
      </c>
      <c r="W79" s="41" t="str">
        <f t="shared" si="27"/>
        <v/>
      </c>
      <c r="Y79" s="35" t="str">
        <f t="shared" si="36"/>
        <v/>
      </c>
      <c r="Z79" s="34" t="str">
        <f t="shared" si="46"/>
        <v/>
      </c>
      <c r="AA79" s="34" t="str">
        <f t="shared" si="28"/>
        <v/>
      </c>
      <c r="AC79" s="36" t="str">
        <f t="shared" si="37"/>
        <v/>
      </c>
      <c r="AE79" s="37">
        <f t="shared" si="38"/>
        <v>0</v>
      </c>
      <c r="AG79" s="56" t="str">
        <f t="shared" si="47"/>
        <v/>
      </c>
      <c r="AH79" s="57" t="str">
        <f t="shared" si="39"/>
        <v/>
      </c>
      <c r="AI79" s="57" t="str">
        <f t="shared" si="48"/>
        <v/>
      </c>
      <c r="AJ79" s="57" t="str">
        <f t="shared" si="40"/>
        <v/>
      </c>
      <c r="AK79" s="57" t="str">
        <f t="shared" si="49"/>
        <v/>
      </c>
    </row>
    <row r="80" spans="1:37">
      <c r="A80" s="2" t="str">
        <f t="shared" si="41"/>
        <v/>
      </c>
      <c r="B80" s="10" t="str">
        <f t="shared" si="29"/>
        <v/>
      </c>
      <c r="C80" s="18" t="str">
        <f t="shared" si="30"/>
        <v/>
      </c>
      <c r="D80" s="4" t="str">
        <f t="shared" si="42"/>
        <v/>
      </c>
      <c r="E80" s="4" t="str">
        <f t="shared" si="31"/>
        <v/>
      </c>
      <c r="F80" s="4" t="str">
        <f t="shared" si="32"/>
        <v/>
      </c>
      <c r="G80" s="4" t="str">
        <f t="shared" si="33"/>
        <v/>
      </c>
      <c r="H80" s="4"/>
      <c r="I80" s="4"/>
      <c r="J80" s="4"/>
      <c r="K80" s="4"/>
      <c r="L80" s="4" t="str">
        <f>IF(A80="","",IF(ISERROR(VLOOKUP(A80,'pagos anticipados'!$A$2:$B$5,2,FALSE)),0,VLOOKUP(A80,'pagos anticipados'!$A$2:B78,2,FALSE)))</f>
        <v/>
      </c>
      <c r="M80" s="4" t="str">
        <f t="shared" si="25"/>
        <v/>
      </c>
      <c r="N80" s="1">
        <f t="shared" si="26"/>
        <v>0</v>
      </c>
      <c r="Q80" s="44" t="str">
        <f t="shared" si="34"/>
        <v/>
      </c>
      <c r="R80" s="44" t="str">
        <f t="shared" si="43"/>
        <v/>
      </c>
      <c r="S80" s="44" t="str">
        <f t="shared" si="35"/>
        <v/>
      </c>
      <c r="U80" s="42" t="str">
        <f t="shared" si="44"/>
        <v/>
      </c>
      <c r="V80" s="41" t="str">
        <f t="shared" si="45"/>
        <v/>
      </c>
      <c r="W80" s="41" t="str">
        <f t="shared" si="27"/>
        <v/>
      </c>
      <c r="Y80" s="35" t="str">
        <f t="shared" si="36"/>
        <v/>
      </c>
      <c r="Z80" s="34" t="str">
        <f t="shared" si="46"/>
        <v/>
      </c>
      <c r="AA80" s="34" t="str">
        <f t="shared" si="28"/>
        <v/>
      </c>
      <c r="AC80" s="36" t="str">
        <f t="shared" si="37"/>
        <v/>
      </c>
      <c r="AE80" s="37">
        <f t="shared" si="38"/>
        <v>0</v>
      </c>
      <c r="AG80" s="56" t="str">
        <f t="shared" si="47"/>
        <v/>
      </c>
      <c r="AH80" s="57" t="str">
        <f t="shared" si="39"/>
        <v/>
      </c>
      <c r="AI80" s="57" t="str">
        <f t="shared" si="48"/>
        <v/>
      </c>
      <c r="AJ80" s="57" t="str">
        <f t="shared" si="40"/>
        <v/>
      </c>
      <c r="AK80" s="57" t="str">
        <f t="shared" si="49"/>
        <v/>
      </c>
    </row>
    <row r="81" spans="1:37">
      <c r="A81" s="2" t="str">
        <f t="shared" si="41"/>
        <v/>
      </c>
      <c r="B81" s="10" t="str">
        <f t="shared" si="29"/>
        <v/>
      </c>
      <c r="C81" s="18" t="str">
        <f t="shared" si="30"/>
        <v/>
      </c>
      <c r="D81" s="4" t="str">
        <f t="shared" si="42"/>
        <v/>
      </c>
      <c r="E81" s="4" t="str">
        <f t="shared" si="31"/>
        <v/>
      </c>
      <c r="F81" s="4" t="str">
        <f t="shared" si="32"/>
        <v/>
      </c>
      <c r="G81" s="4" t="str">
        <f t="shared" si="33"/>
        <v/>
      </c>
      <c r="H81" s="4"/>
      <c r="I81" s="4"/>
      <c r="J81" s="4"/>
      <c r="K81" s="4"/>
      <c r="L81" s="4" t="str">
        <f>IF(A81="","",IF(ISERROR(VLOOKUP(A81,'pagos anticipados'!$A$2:$B$5,2,FALSE)),0,VLOOKUP(A81,'pagos anticipados'!$A$2:B79,2,FALSE)))</f>
        <v/>
      </c>
      <c r="M81" s="4" t="str">
        <f t="shared" si="25"/>
        <v/>
      </c>
      <c r="N81" s="1">
        <f t="shared" si="26"/>
        <v>0</v>
      </c>
      <c r="Q81" s="44" t="str">
        <f t="shared" si="34"/>
        <v/>
      </c>
      <c r="R81" s="44" t="str">
        <f t="shared" si="43"/>
        <v/>
      </c>
      <c r="S81" s="44" t="str">
        <f t="shared" si="35"/>
        <v/>
      </c>
      <c r="U81" s="42" t="str">
        <f t="shared" si="44"/>
        <v/>
      </c>
      <c r="V81" s="41" t="str">
        <f t="shared" si="45"/>
        <v/>
      </c>
      <c r="W81" s="41" t="str">
        <f t="shared" si="27"/>
        <v/>
      </c>
      <c r="Y81" s="35" t="str">
        <f t="shared" si="36"/>
        <v/>
      </c>
      <c r="Z81" s="34" t="str">
        <f t="shared" si="46"/>
        <v/>
      </c>
      <c r="AA81" s="34" t="str">
        <f t="shared" si="28"/>
        <v/>
      </c>
      <c r="AC81" s="36" t="str">
        <f t="shared" si="37"/>
        <v/>
      </c>
      <c r="AE81" s="37">
        <f t="shared" si="38"/>
        <v>0</v>
      </c>
      <c r="AG81" s="56" t="str">
        <f t="shared" si="47"/>
        <v/>
      </c>
      <c r="AH81" s="57" t="str">
        <f t="shared" si="39"/>
        <v/>
      </c>
      <c r="AI81" s="57" t="str">
        <f t="shared" si="48"/>
        <v/>
      </c>
      <c r="AJ81" s="57" t="str">
        <f t="shared" si="40"/>
        <v/>
      </c>
      <c r="AK81" s="57" t="str">
        <f t="shared" si="49"/>
        <v/>
      </c>
    </row>
    <row r="82" spans="1:37">
      <c r="A82" s="2" t="str">
        <f t="shared" si="41"/>
        <v/>
      </c>
      <c r="B82" s="10" t="str">
        <f t="shared" si="29"/>
        <v/>
      </c>
      <c r="C82" s="18" t="str">
        <f t="shared" si="30"/>
        <v/>
      </c>
      <c r="D82" s="4" t="str">
        <f t="shared" si="42"/>
        <v/>
      </c>
      <c r="E82" s="4" t="str">
        <f t="shared" si="31"/>
        <v/>
      </c>
      <c r="F82" s="4" t="str">
        <f t="shared" si="32"/>
        <v/>
      </c>
      <c r="G82" s="4" t="str">
        <f t="shared" si="33"/>
        <v/>
      </c>
      <c r="H82" s="4"/>
      <c r="I82" s="4"/>
      <c r="J82" s="4"/>
      <c r="K82" s="4"/>
      <c r="L82" s="4" t="str">
        <f>IF(A82="","",IF(ISERROR(VLOOKUP(A82,'pagos anticipados'!$A$2:$B$5,2,FALSE)),0,VLOOKUP(A82,'pagos anticipados'!$A$2:B80,2,FALSE)))</f>
        <v/>
      </c>
      <c r="M82" s="4" t="str">
        <f t="shared" si="25"/>
        <v/>
      </c>
      <c r="N82" s="1">
        <f t="shared" si="26"/>
        <v>0</v>
      </c>
      <c r="Q82" s="44" t="str">
        <f t="shared" si="34"/>
        <v/>
      </c>
      <c r="R82" s="44" t="str">
        <f t="shared" si="43"/>
        <v/>
      </c>
      <c r="S82" s="44" t="str">
        <f t="shared" si="35"/>
        <v/>
      </c>
      <c r="U82" s="42" t="str">
        <f t="shared" si="44"/>
        <v/>
      </c>
      <c r="V82" s="41" t="str">
        <f t="shared" si="45"/>
        <v/>
      </c>
      <c r="W82" s="41" t="str">
        <f t="shared" si="27"/>
        <v/>
      </c>
      <c r="Y82" s="35" t="str">
        <f t="shared" si="36"/>
        <v/>
      </c>
      <c r="Z82" s="34" t="str">
        <f t="shared" si="46"/>
        <v/>
      </c>
      <c r="AA82" s="34" t="str">
        <f t="shared" si="28"/>
        <v/>
      </c>
      <c r="AC82" s="36" t="str">
        <f t="shared" si="37"/>
        <v/>
      </c>
      <c r="AE82" s="37">
        <f t="shared" si="38"/>
        <v>0</v>
      </c>
      <c r="AG82" s="56" t="str">
        <f t="shared" si="47"/>
        <v/>
      </c>
      <c r="AH82" s="57" t="str">
        <f t="shared" si="39"/>
        <v/>
      </c>
      <c r="AI82" s="57" t="str">
        <f t="shared" si="48"/>
        <v/>
      </c>
      <c r="AJ82" s="57" t="str">
        <f t="shared" si="40"/>
        <v/>
      </c>
      <c r="AK82" s="57" t="str">
        <f t="shared" si="49"/>
        <v/>
      </c>
    </row>
    <row r="83" spans="1:37">
      <c r="A83" s="2" t="str">
        <f t="shared" si="41"/>
        <v/>
      </c>
      <c r="B83" s="10" t="str">
        <f t="shared" si="29"/>
        <v/>
      </c>
      <c r="C83" s="18" t="str">
        <f t="shared" si="30"/>
        <v/>
      </c>
      <c r="D83" s="4" t="str">
        <f t="shared" si="42"/>
        <v/>
      </c>
      <c r="E83" s="4" t="str">
        <f t="shared" si="31"/>
        <v/>
      </c>
      <c r="F83" s="4" t="str">
        <f t="shared" si="32"/>
        <v/>
      </c>
      <c r="G83" s="4" t="str">
        <f t="shared" si="33"/>
        <v/>
      </c>
      <c r="H83" s="4"/>
      <c r="I83" s="4"/>
      <c r="J83" s="4"/>
      <c r="K83" s="4"/>
      <c r="L83" s="4" t="str">
        <f>IF(A83="","",IF(ISERROR(VLOOKUP(A83,'pagos anticipados'!$A$2:$B$5,2,FALSE)),0,VLOOKUP(A83,'pagos anticipados'!$A$2:B81,2,FALSE)))</f>
        <v/>
      </c>
      <c r="M83" s="4" t="str">
        <f t="shared" si="25"/>
        <v/>
      </c>
      <c r="N83" s="1">
        <f t="shared" si="26"/>
        <v>0</v>
      </c>
      <c r="Q83" s="44" t="str">
        <f t="shared" si="34"/>
        <v/>
      </c>
      <c r="R83" s="44" t="str">
        <f t="shared" si="43"/>
        <v/>
      </c>
      <c r="S83" s="44" t="str">
        <f t="shared" si="35"/>
        <v/>
      </c>
      <c r="U83" s="42" t="str">
        <f t="shared" si="44"/>
        <v/>
      </c>
      <c r="V83" s="41" t="str">
        <f t="shared" si="45"/>
        <v/>
      </c>
      <c r="W83" s="41" t="str">
        <f t="shared" si="27"/>
        <v/>
      </c>
      <c r="Y83" s="35" t="str">
        <f t="shared" si="36"/>
        <v/>
      </c>
      <c r="Z83" s="34" t="str">
        <f t="shared" si="46"/>
        <v/>
      </c>
      <c r="AA83" s="34" t="str">
        <f t="shared" si="28"/>
        <v/>
      </c>
      <c r="AC83" s="36" t="str">
        <f t="shared" si="37"/>
        <v/>
      </c>
      <c r="AE83" s="37">
        <f t="shared" si="38"/>
        <v>0</v>
      </c>
      <c r="AG83" s="56" t="str">
        <f t="shared" si="47"/>
        <v/>
      </c>
      <c r="AH83" s="57" t="str">
        <f t="shared" si="39"/>
        <v/>
      </c>
      <c r="AI83" s="57" t="str">
        <f t="shared" si="48"/>
        <v/>
      </c>
      <c r="AJ83" s="57" t="str">
        <f t="shared" si="40"/>
        <v/>
      </c>
      <c r="AK83" s="57" t="str">
        <f t="shared" si="49"/>
        <v/>
      </c>
    </row>
    <row r="84" spans="1:37">
      <c r="A84" s="2" t="str">
        <f t="shared" si="41"/>
        <v/>
      </c>
      <c r="B84" s="10" t="str">
        <f t="shared" si="29"/>
        <v/>
      </c>
      <c r="C84" s="18" t="str">
        <f t="shared" si="30"/>
        <v/>
      </c>
      <c r="D84" s="4" t="str">
        <f t="shared" si="42"/>
        <v/>
      </c>
      <c r="E84" s="4" t="str">
        <f t="shared" si="31"/>
        <v/>
      </c>
      <c r="F84" s="4" t="str">
        <f t="shared" si="32"/>
        <v/>
      </c>
      <c r="G84" s="4" t="str">
        <f t="shared" si="33"/>
        <v/>
      </c>
      <c r="H84" s="4"/>
      <c r="I84" s="4"/>
      <c r="J84" s="4"/>
      <c r="K84" s="4"/>
      <c r="L84" s="4" t="str">
        <f>IF(A84="","",IF(ISERROR(VLOOKUP(A84,'pagos anticipados'!$A$2:$B$5,2,FALSE)),0,VLOOKUP(A84,'pagos anticipados'!$A$2:B82,2,FALSE)))</f>
        <v/>
      </c>
      <c r="M84" s="4" t="str">
        <f t="shared" si="25"/>
        <v/>
      </c>
      <c r="N84" s="1">
        <f t="shared" si="26"/>
        <v>0</v>
      </c>
      <c r="Q84" s="44" t="str">
        <f t="shared" si="34"/>
        <v/>
      </c>
      <c r="R84" s="44" t="str">
        <f t="shared" si="43"/>
        <v/>
      </c>
      <c r="S84" s="44" t="str">
        <f t="shared" si="35"/>
        <v/>
      </c>
      <c r="U84" s="42" t="str">
        <f t="shared" si="44"/>
        <v/>
      </c>
      <c r="V84" s="41" t="str">
        <f t="shared" si="45"/>
        <v/>
      </c>
      <c r="W84" s="41" t="str">
        <f t="shared" si="27"/>
        <v/>
      </c>
      <c r="Y84" s="35" t="str">
        <f t="shared" si="36"/>
        <v/>
      </c>
      <c r="Z84" s="34" t="str">
        <f t="shared" si="46"/>
        <v/>
      </c>
      <c r="AA84" s="34" t="str">
        <f t="shared" si="28"/>
        <v/>
      </c>
      <c r="AC84" s="36" t="str">
        <f t="shared" si="37"/>
        <v/>
      </c>
      <c r="AE84" s="37">
        <f t="shared" si="38"/>
        <v>0</v>
      </c>
      <c r="AG84" s="56" t="str">
        <f t="shared" si="47"/>
        <v/>
      </c>
      <c r="AH84" s="57" t="str">
        <f t="shared" si="39"/>
        <v/>
      </c>
      <c r="AI84" s="57" t="str">
        <f t="shared" si="48"/>
        <v/>
      </c>
      <c r="AJ84" s="57" t="str">
        <f t="shared" si="40"/>
        <v/>
      </c>
      <c r="AK84" s="57" t="str">
        <f t="shared" si="49"/>
        <v/>
      </c>
    </row>
    <row r="85" spans="1:37">
      <c r="A85" s="2" t="str">
        <f t="shared" si="41"/>
        <v/>
      </c>
      <c r="B85" s="10" t="str">
        <f t="shared" si="29"/>
        <v/>
      </c>
      <c r="C85" s="18" t="str">
        <f t="shared" si="30"/>
        <v/>
      </c>
      <c r="D85" s="4" t="str">
        <f t="shared" si="42"/>
        <v/>
      </c>
      <c r="E85" s="4" t="str">
        <f t="shared" si="31"/>
        <v/>
      </c>
      <c r="F85" s="4" t="str">
        <f t="shared" si="32"/>
        <v/>
      </c>
      <c r="G85" s="4" t="str">
        <f t="shared" si="33"/>
        <v/>
      </c>
      <c r="H85" s="4"/>
      <c r="I85" s="4"/>
      <c r="J85" s="4"/>
      <c r="K85" s="4"/>
      <c r="L85" s="4" t="str">
        <f>IF(A85="","",IF(ISERROR(VLOOKUP(A85,'pagos anticipados'!$A$2:$B$5,2,FALSE)),0,VLOOKUP(A85,'pagos anticipados'!$A$2:B83,2,FALSE)))</f>
        <v/>
      </c>
      <c r="M85" s="4" t="str">
        <f t="shared" si="25"/>
        <v/>
      </c>
      <c r="N85" s="1">
        <f t="shared" si="26"/>
        <v>0</v>
      </c>
      <c r="Q85" s="44" t="str">
        <f t="shared" si="34"/>
        <v/>
      </c>
      <c r="R85" s="44" t="str">
        <f t="shared" si="43"/>
        <v/>
      </c>
      <c r="S85" s="44" t="str">
        <f t="shared" si="35"/>
        <v/>
      </c>
      <c r="U85" s="42" t="str">
        <f t="shared" si="44"/>
        <v/>
      </c>
      <c r="V85" s="41" t="str">
        <f t="shared" si="45"/>
        <v/>
      </c>
      <c r="W85" s="41" t="str">
        <f t="shared" si="27"/>
        <v/>
      </c>
      <c r="Y85" s="35" t="str">
        <f t="shared" si="36"/>
        <v/>
      </c>
      <c r="Z85" s="34" t="str">
        <f t="shared" si="46"/>
        <v/>
      </c>
      <c r="AA85" s="34" t="str">
        <f t="shared" si="28"/>
        <v/>
      </c>
      <c r="AC85" s="36" t="str">
        <f t="shared" si="37"/>
        <v/>
      </c>
      <c r="AE85" s="37">
        <f t="shared" si="38"/>
        <v>0</v>
      </c>
      <c r="AG85" s="56" t="str">
        <f t="shared" si="47"/>
        <v/>
      </c>
      <c r="AH85" s="57" t="str">
        <f t="shared" si="39"/>
        <v/>
      </c>
      <c r="AI85" s="57" t="str">
        <f t="shared" si="48"/>
        <v/>
      </c>
      <c r="AJ85" s="57" t="str">
        <f t="shared" si="40"/>
        <v/>
      </c>
      <c r="AK85" s="57" t="str">
        <f t="shared" si="49"/>
        <v/>
      </c>
    </row>
    <row r="86" spans="1:37">
      <c r="A86" s="2" t="str">
        <f t="shared" si="41"/>
        <v/>
      </c>
      <c r="B86" s="10" t="str">
        <f t="shared" si="29"/>
        <v/>
      </c>
      <c r="C86" s="18" t="str">
        <f t="shared" si="30"/>
        <v/>
      </c>
      <c r="D86" s="4" t="str">
        <f t="shared" si="42"/>
        <v/>
      </c>
      <c r="E86" s="4" t="str">
        <f t="shared" si="31"/>
        <v/>
      </c>
      <c r="F86" s="4" t="str">
        <f t="shared" si="32"/>
        <v/>
      </c>
      <c r="G86" s="4" t="str">
        <f t="shared" si="33"/>
        <v/>
      </c>
      <c r="H86" s="4"/>
      <c r="I86" s="4"/>
      <c r="J86" s="4"/>
      <c r="K86" s="4"/>
      <c r="L86" s="4" t="str">
        <f>IF(A86="","",IF(ISERROR(VLOOKUP(A86,'pagos anticipados'!$A$2:$B$5,2,FALSE)),0,VLOOKUP(A86,'pagos anticipados'!$A$2:B84,2,FALSE)))</f>
        <v/>
      </c>
      <c r="M86" s="4" t="str">
        <f t="shared" si="25"/>
        <v/>
      </c>
      <c r="N86" s="1">
        <f t="shared" si="26"/>
        <v>0</v>
      </c>
      <c r="Q86" s="44" t="str">
        <f t="shared" si="34"/>
        <v/>
      </c>
      <c r="R86" s="44" t="str">
        <f t="shared" si="43"/>
        <v/>
      </c>
      <c r="S86" s="44" t="str">
        <f t="shared" si="35"/>
        <v/>
      </c>
      <c r="U86" s="42" t="str">
        <f t="shared" si="44"/>
        <v/>
      </c>
      <c r="V86" s="41" t="str">
        <f t="shared" si="45"/>
        <v/>
      </c>
      <c r="W86" s="41" t="str">
        <f t="shared" si="27"/>
        <v/>
      </c>
      <c r="Y86" s="35" t="str">
        <f t="shared" si="36"/>
        <v/>
      </c>
      <c r="Z86" s="34" t="str">
        <f t="shared" si="46"/>
        <v/>
      </c>
      <c r="AA86" s="34" t="str">
        <f t="shared" si="28"/>
        <v/>
      </c>
      <c r="AC86" s="36" t="str">
        <f t="shared" si="37"/>
        <v/>
      </c>
      <c r="AE86" s="37">
        <f t="shared" si="38"/>
        <v>0</v>
      </c>
      <c r="AG86" s="56" t="str">
        <f t="shared" si="47"/>
        <v/>
      </c>
      <c r="AH86" s="57" t="str">
        <f t="shared" si="39"/>
        <v/>
      </c>
      <c r="AI86" s="57" t="str">
        <f t="shared" si="48"/>
        <v/>
      </c>
      <c r="AJ86" s="57" t="str">
        <f t="shared" si="40"/>
        <v/>
      </c>
      <c r="AK86" s="57" t="str">
        <f t="shared" si="49"/>
        <v/>
      </c>
    </row>
    <row r="87" spans="1:37">
      <c r="A87" s="2" t="str">
        <f t="shared" si="41"/>
        <v/>
      </c>
      <c r="B87" s="10" t="str">
        <f t="shared" si="29"/>
        <v/>
      </c>
      <c r="C87" s="18" t="str">
        <f t="shared" si="30"/>
        <v/>
      </c>
      <c r="D87" s="4" t="str">
        <f t="shared" si="42"/>
        <v/>
      </c>
      <c r="E87" s="4" t="str">
        <f t="shared" si="31"/>
        <v/>
      </c>
      <c r="F87" s="4" t="str">
        <f t="shared" si="32"/>
        <v/>
      </c>
      <c r="G87" s="4" t="str">
        <f t="shared" si="33"/>
        <v/>
      </c>
      <c r="H87" s="4"/>
      <c r="I87" s="4"/>
      <c r="J87" s="4"/>
      <c r="K87" s="4"/>
      <c r="L87" s="4" t="str">
        <f>IF(A87="","",IF(ISERROR(VLOOKUP(A87,'pagos anticipados'!$A$2:$B$5,2,FALSE)),0,VLOOKUP(A87,'pagos anticipados'!$A$2:B85,2,FALSE)))</f>
        <v/>
      </c>
      <c r="M87" s="4" t="str">
        <f t="shared" si="25"/>
        <v/>
      </c>
      <c r="N87" s="1">
        <f t="shared" si="26"/>
        <v>0</v>
      </c>
      <c r="Q87" s="44" t="str">
        <f t="shared" si="34"/>
        <v/>
      </c>
      <c r="R87" s="44" t="str">
        <f t="shared" si="43"/>
        <v/>
      </c>
      <c r="S87" s="44" t="str">
        <f t="shared" si="35"/>
        <v/>
      </c>
      <c r="U87" s="42" t="str">
        <f t="shared" si="44"/>
        <v/>
      </c>
      <c r="V87" s="41" t="str">
        <f t="shared" si="45"/>
        <v/>
      </c>
      <c r="W87" s="41" t="str">
        <f t="shared" si="27"/>
        <v/>
      </c>
      <c r="Y87" s="35" t="str">
        <f t="shared" si="36"/>
        <v/>
      </c>
      <c r="Z87" s="34" t="str">
        <f t="shared" si="46"/>
        <v/>
      </c>
      <c r="AA87" s="34" t="str">
        <f t="shared" si="28"/>
        <v/>
      </c>
      <c r="AC87" s="36" t="str">
        <f t="shared" si="37"/>
        <v/>
      </c>
      <c r="AE87" s="37">
        <f t="shared" si="38"/>
        <v>0</v>
      </c>
      <c r="AG87" s="56" t="str">
        <f t="shared" si="47"/>
        <v/>
      </c>
      <c r="AH87" s="57" t="str">
        <f t="shared" si="39"/>
        <v/>
      </c>
      <c r="AI87" s="57" t="str">
        <f t="shared" si="48"/>
        <v/>
      </c>
      <c r="AJ87" s="57" t="str">
        <f t="shared" si="40"/>
        <v/>
      </c>
      <c r="AK87" s="57" t="str">
        <f t="shared" si="49"/>
        <v/>
      </c>
    </row>
    <row r="88" spans="1:37">
      <c r="A88" s="2" t="str">
        <f t="shared" si="41"/>
        <v/>
      </c>
      <c r="B88" s="10" t="str">
        <f t="shared" si="29"/>
        <v/>
      </c>
      <c r="C88" s="18" t="str">
        <f t="shared" si="30"/>
        <v/>
      </c>
      <c r="D88" s="4" t="str">
        <f t="shared" si="42"/>
        <v/>
      </c>
      <c r="E88" s="4" t="str">
        <f t="shared" si="31"/>
        <v/>
      </c>
      <c r="F88" s="4" t="str">
        <f t="shared" si="32"/>
        <v/>
      </c>
      <c r="G88" s="4" t="str">
        <f t="shared" si="33"/>
        <v/>
      </c>
      <c r="H88" s="4"/>
      <c r="I88" s="4"/>
      <c r="J88" s="4"/>
      <c r="K88" s="4"/>
      <c r="L88" s="4" t="str">
        <f>IF(A88="","",IF(ISERROR(VLOOKUP(A88,'pagos anticipados'!$A$2:$B$5,2,FALSE)),0,VLOOKUP(A88,'pagos anticipados'!$A$2:B86,2,FALSE)))</f>
        <v/>
      </c>
      <c r="M88" s="4" t="str">
        <f t="shared" si="25"/>
        <v/>
      </c>
      <c r="N88" s="1">
        <f t="shared" si="26"/>
        <v>0</v>
      </c>
      <c r="Q88" s="44" t="str">
        <f t="shared" si="34"/>
        <v/>
      </c>
      <c r="R88" s="44" t="str">
        <f t="shared" si="43"/>
        <v/>
      </c>
      <c r="S88" s="44" t="str">
        <f t="shared" si="35"/>
        <v/>
      </c>
      <c r="U88" s="42" t="str">
        <f t="shared" si="44"/>
        <v/>
      </c>
      <c r="V88" s="41" t="str">
        <f t="shared" si="45"/>
        <v/>
      </c>
      <c r="W88" s="41" t="str">
        <f t="shared" si="27"/>
        <v/>
      </c>
      <c r="Y88" s="35" t="str">
        <f t="shared" si="36"/>
        <v/>
      </c>
      <c r="Z88" s="34" t="str">
        <f t="shared" si="46"/>
        <v/>
      </c>
      <c r="AA88" s="34" t="str">
        <f t="shared" si="28"/>
        <v/>
      </c>
      <c r="AC88" s="36" t="str">
        <f t="shared" si="37"/>
        <v/>
      </c>
      <c r="AE88" s="37">
        <f t="shared" si="38"/>
        <v>0</v>
      </c>
      <c r="AG88" s="56" t="str">
        <f t="shared" si="47"/>
        <v/>
      </c>
      <c r="AH88" s="57" t="str">
        <f t="shared" si="39"/>
        <v/>
      </c>
      <c r="AI88" s="57" t="str">
        <f t="shared" si="48"/>
        <v/>
      </c>
      <c r="AJ88" s="57" t="str">
        <f t="shared" si="40"/>
        <v/>
      </c>
      <c r="AK88" s="57" t="str">
        <f t="shared" si="49"/>
        <v/>
      </c>
    </row>
    <row r="89" spans="1:37">
      <c r="A89" s="2" t="str">
        <f t="shared" si="41"/>
        <v/>
      </c>
      <c r="B89" s="10" t="str">
        <f t="shared" si="29"/>
        <v/>
      </c>
      <c r="C89" s="18" t="str">
        <f t="shared" si="30"/>
        <v/>
      </c>
      <c r="D89" s="4" t="str">
        <f t="shared" si="42"/>
        <v/>
      </c>
      <c r="E89" s="4" t="str">
        <f t="shared" si="31"/>
        <v/>
      </c>
      <c r="F89" s="4" t="str">
        <f t="shared" si="32"/>
        <v/>
      </c>
      <c r="G89" s="4" t="str">
        <f t="shared" si="33"/>
        <v/>
      </c>
      <c r="H89" s="4"/>
      <c r="I89" s="4"/>
      <c r="J89" s="4"/>
      <c r="K89" s="4"/>
      <c r="L89" s="4" t="str">
        <f>IF(A89="","",IF(ISERROR(VLOOKUP(A89,'pagos anticipados'!$A$2:$B$5,2,FALSE)),0,VLOOKUP(A89,'pagos anticipados'!$A$2:B87,2,FALSE)))</f>
        <v/>
      </c>
      <c r="M89" s="4" t="str">
        <f t="shared" si="25"/>
        <v/>
      </c>
      <c r="N89" s="1">
        <f t="shared" si="26"/>
        <v>0</v>
      </c>
      <c r="Q89" s="44" t="str">
        <f t="shared" si="34"/>
        <v/>
      </c>
      <c r="R89" s="44" t="str">
        <f t="shared" si="43"/>
        <v/>
      </c>
      <c r="S89" s="44" t="str">
        <f t="shared" si="35"/>
        <v/>
      </c>
      <c r="U89" s="42" t="str">
        <f t="shared" si="44"/>
        <v/>
      </c>
      <c r="V89" s="41" t="str">
        <f t="shared" si="45"/>
        <v/>
      </c>
      <c r="W89" s="41" t="str">
        <f t="shared" si="27"/>
        <v/>
      </c>
      <c r="Y89" s="35" t="str">
        <f t="shared" si="36"/>
        <v/>
      </c>
      <c r="Z89" s="34" t="str">
        <f t="shared" si="46"/>
        <v/>
      </c>
      <c r="AA89" s="34" t="str">
        <f t="shared" si="28"/>
        <v/>
      </c>
      <c r="AC89" s="36" t="str">
        <f t="shared" si="37"/>
        <v/>
      </c>
      <c r="AE89" s="37">
        <f t="shared" si="38"/>
        <v>0</v>
      </c>
      <c r="AG89" s="56" t="str">
        <f t="shared" si="47"/>
        <v/>
      </c>
      <c r="AH89" s="57" t="str">
        <f t="shared" si="39"/>
        <v/>
      </c>
      <c r="AI89" s="57" t="str">
        <f t="shared" si="48"/>
        <v/>
      </c>
      <c r="AJ89" s="57" t="str">
        <f t="shared" si="40"/>
        <v/>
      </c>
      <c r="AK89" s="57" t="str">
        <f t="shared" si="49"/>
        <v/>
      </c>
    </row>
    <row r="90" spans="1:37">
      <c r="A90" s="2" t="str">
        <f t="shared" si="41"/>
        <v/>
      </c>
      <c r="B90" s="10" t="str">
        <f t="shared" si="29"/>
        <v/>
      </c>
      <c r="C90" s="18" t="str">
        <f t="shared" si="30"/>
        <v/>
      </c>
      <c r="D90" s="4" t="str">
        <f t="shared" si="42"/>
        <v/>
      </c>
      <c r="E90" s="4" t="str">
        <f t="shared" si="31"/>
        <v/>
      </c>
      <c r="F90" s="4" t="str">
        <f t="shared" si="32"/>
        <v/>
      </c>
      <c r="G90" s="4" t="str">
        <f t="shared" si="33"/>
        <v/>
      </c>
      <c r="H90" s="4"/>
      <c r="I90" s="4"/>
      <c r="J90" s="4"/>
      <c r="K90" s="4"/>
      <c r="L90" s="4" t="str">
        <f>IF(A90="","",IF(ISERROR(VLOOKUP(A90,'pagos anticipados'!$A$2:$B$5,2,FALSE)),0,VLOOKUP(A90,'pagos anticipados'!$A$2:B88,2,FALSE)))</f>
        <v/>
      </c>
      <c r="M90" s="4" t="str">
        <f t="shared" si="25"/>
        <v/>
      </c>
      <c r="N90" s="1">
        <f t="shared" si="26"/>
        <v>0</v>
      </c>
      <c r="Q90" s="44" t="str">
        <f t="shared" si="34"/>
        <v/>
      </c>
      <c r="R90" s="44" t="str">
        <f t="shared" si="43"/>
        <v/>
      </c>
      <c r="S90" s="44" t="str">
        <f t="shared" si="35"/>
        <v/>
      </c>
      <c r="U90" s="42" t="str">
        <f t="shared" si="44"/>
        <v/>
      </c>
      <c r="V90" s="41" t="str">
        <f t="shared" si="45"/>
        <v/>
      </c>
      <c r="W90" s="41" t="str">
        <f t="shared" si="27"/>
        <v/>
      </c>
      <c r="Y90" s="35" t="str">
        <f t="shared" si="36"/>
        <v/>
      </c>
      <c r="Z90" s="34" t="str">
        <f t="shared" si="46"/>
        <v/>
      </c>
      <c r="AA90" s="34" t="str">
        <f t="shared" si="28"/>
        <v/>
      </c>
      <c r="AC90" s="36" t="str">
        <f t="shared" si="37"/>
        <v/>
      </c>
      <c r="AE90" s="37">
        <f t="shared" si="38"/>
        <v>0</v>
      </c>
      <c r="AG90" s="56" t="str">
        <f t="shared" si="47"/>
        <v/>
      </c>
      <c r="AH90" s="57" t="str">
        <f t="shared" si="39"/>
        <v/>
      </c>
      <c r="AI90" s="57" t="str">
        <f t="shared" si="48"/>
        <v/>
      </c>
      <c r="AJ90" s="57" t="str">
        <f t="shared" si="40"/>
        <v/>
      </c>
      <c r="AK90" s="57" t="str">
        <f t="shared" si="49"/>
        <v/>
      </c>
    </row>
    <row r="91" spans="1:37">
      <c r="A91" s="2" t="str">
        <f t="shared" si="41"/>
        <v/>
      </c>
      <c r="B91" s="10" t="str">
        <f t="shared" si="29"/>
        <v/>
      </c>
      <c r="C91" s="18" t="str">
        <f t="shared" si="30"/>
        <v/>
      </c>
      <c r="D91" s="4" t="str">
        <f t="shared" si="42"/>
        <v/>
      </c>
      <c r="E91" s="4" t="str">
        <f t="shared" si="31"/>
        <v/>
      </c>
      <c r="F91" s="4" t="str">
        <f t="shared" si="32"/>
        <v/>
      </c>
      <c r="G91" s="4" t="str">
        <f t="shared" si="33"/>
        <v/>
      </c>
      <c r="H91" s="4"/>
      <c r="I91" s="4"/>
      <c r="J91" s="4"/>
      <c r="K91" s="4"/>
      <c r="L91" s="4" t="str">
        <f>IF(A91="","",IF(ISERROR(VLOOKUP(A91,'pagos anticipados'!$A$2:$B$5,2,FALSE)),0,VLOOKUP(A91,'pagos anticipados'!$A$2:B89,2,FALSE)))</f>
        <v/>
      </c>
      <c r="M91" s="4" t="str">
        <f t="shared" si="25"/>
        <v/>
      </c>
      <c r="N91" s="1">
        <f t="shared" si="26"/>
        <v>0</v>
      </c>
      <c r="Q91" s="44" t="str">
        <f t="shared" si="34"/>
        <v/>
      </c>
      <c r="R91" s="44" t="str">
        <f t="shared" si="43"/>
        <v/>
      </c>
      <c r="S91" s="44" t="str">
        <f t="shared" si="35"/>
        <v/>
      </c>
      <c r="U91" s="42" t="str">
        <f t="shared" si="44"/>
        <v/>
      </c>
      <c r="V91" s="41" t="str">
        <f t="shared" si="45"/>
        <v/>
      </c>
      <c r="W91" s="41" t="str">
        <f t="shared" si="27"/>
        <v/>
      </c>
      <c r="Y91" s="35" t="str">
        <f t="shared" si="36"/>
        <v/>
      </c>
      <c r="Z91" s="34" t="str">
        <f t="shared" si="46"/>
        <v/>
      </c>
      <c r="AA91" s="34" t="str">
        <f t="shared" si="28"/>
        <v/>
      </c>
      <c r="AC91" s="36" t="str">
        <f t="shared" si="37"/>
        <v/>
      </c>
      <c r="AE91" s="37">
        <f t="shared" si="38"/>
        <v>0</v>
      </c>
      <c r="AG91" s="56" t="str">
        <f t="shared" si="47"/>
        <v/>
      </c>
      <c r="AH91" s="57" t="str">
        <f t="shared" si="39"/>
        <v/>
      </c>
      <c r="AI91" s="57" t="str">
        <f t="shared" si="48"/>
        <v/>
      </c>
      <c r="AJ91" s="57" t="str">
        <f t="shared" si="40"/>
        <v/>
      </c>
      <c r="AK91" s="57" t="str">
        <f t="shared" si="49"/>
        <v/>
      </c>
    </row>
    <row r="92" spans="1:37">
      <c r="A92" s="2" t="str">
        <f t="shared" si="41"/>
        <v/>
      </c>
      <c r="B92" s="10" t="str">
        <f t="shared" si="29"/>
        <v/>
      </c>
      <c r="C92" s="18" t="str">
        <f t="shared" si="30"/>
        <v/>
      </c>
      <c r="D92" s="4" t="str">
        <f t="shared" si="42"/>
        <v/>
      </c>
      <c r="E92" s="4" t="str">
        <f t="shared" si="31"/>
        <v/>
      </c>
      <c r="F92" s="4" t="str">
        <f t="shared" si="32"/>
        <v/>
      </c>
      <c r="G92" s="4" t="str">
        <f t="shared" si="33"/>
        <v/>
      </c>
      <c r="H92" s="4"/>
      <c r="I92" s="4"/>
      <c r="J92" s="4"/>
      <c r="K92" s="4"/>
      <c r="L92" s="4" t="str">
        <f>IF(A92="","",IF(ISERROR(VLOOKUP(A92,'pagos anticipados'!$A$2:$B$5,2,FALSE)),0,VLOOKUP(A92,'pagos anticipados'!$A$2:B90,2,FALSE)))</f>
        <v/>
      </c>
      <c r="M92" s="4" t="str">
        <f t="shared" si="25"/>
        <v/>
      </c>
      <c r="N92" s="1">
        <f t="shared" si="26"/>
        <v>0</v>
      </c>
      <c r="Q92" s="44" t="str">
        <f t="shared" si="34"/>
        <v/>
      </c>
      <c r="R92" s="44" t="str">
        <f t="shared" si="43"/>
        <v/>
      </c>
      <c r="S92" s="44" t="str">
        <f t="shared" si="35"/>
        <v/>
      </c>
      <c r="U92" s="42" t="str">
        <f t="shared" si="44"/>
        <v/>
      </c>
      <c r="V92" s="41" t="str">
        <f t="shared" si="45"/>
        <v/>
      </c>
      <c r="W92" s="41" t="str">
        <f t="shared" si="27"/>
        <v/>
      </c>
      <c r="Y92" s="35" t="str">
        <f t="shared" si="36"/>
        <v/>
      </c>
      <c r="Z92" s="34" t="str">
        <f t="shared" si="46"/>
        <v/>
      </c>
      <c r="AA92" s="34" t="str">
        <f t="shared" si="28"/>
        <v/>
      </c>
      <c r="AC92" s="36" t="str">
        <f t="shared" si="37"/>
        <v/>
      </c>
      <c r="AE92" s="37">
        <f t="shared" si="38"/>
        <v>0</v>
      </c>
      <c r="AG92" s="56" t="str">
        <f t="shared" si="47"/>
        <v/>
      </c>
      <c r="AH92" s="57" t="str">
        <f t="shared" si="39"/>
        <v/>
      </c>
      <c r="AI92" s="57" t="str">
        <f t="shared" si="48"/>
        <v/>
      </c>
      <c r="AJ92" s="57" t="str">
        <f t="shared" si="40"/>
        <v/>
      </c>
      <c r="AK92" s="57" t="str">
        <f t="shared" si="49"/>
        <v/>
      </c>
    </row>
    <row r="93" spans="1:37">
      <c r="A93" s="2" t="str">
        <f t="shared" si="41"/>
        <v/>
      </c>
      <c r="B93" s="10" t="str">
        <f t="shared" si="29"/>
        <v/>
      </c>
      <c r="C93" s="18" t="str">
        <f t="shared" si="30"/>
        <v/>
      </c>
      <c r="D93" s="4" t="str">
        <f t="shared" si="42"/>
        <v/>
      </c>
      <c r="E93" s="4" t="str">
        <f t="shared" si="31"/>
        <v/>
      </c>
      <c r="F93" s="4" t="str">
        <f t="shared" si="32"/>
        <v/>
      </c>
      <c r="G93" s="4" t="str">
        <f t="shared" si="33"/>
        <v/>
      </c>
      <c r="H93" s="4"/>
      <c r="I93" s="4"/>
      <c r="J93" s="4"/>
      <c r="K93" s="4"/>
      <c r="L93" s="4" t="str">
        <f>IF(A93="","",IF(ISERROR(VLOOKUP(A93,'pagos anticipados'!$A$2:$B$5,2,FALSE)),0,VLOOKUP(A93,'pagos anticipados'!$A$2:B91,2,FALSE)))</f>
        <v/>
      </c>
      <c r="M93" s="4" t="str">
        <f t="shared" si="25"/>
        <v/>
      </c>
      <c r="N93" s="1">
        <f t="shared" si="26"/>
        <v>0</v>
      </c>
      <c r="Q93" s="44" t="str">
        <f t="shared" si="34"/>
        <v/>
      </c>
      <c r="R93" s="44" t="str">
        <f t="shared" si="43"/>
        <v/>
      </c>
      <c r="S93" s="44" t="str">
        <f t="shared" si="35"/>
        <v/>
      </c>
      <c r="U93" s="42" t="str">
        <f t="shared" si="44"/>
        <v/>
      </c>
      <c r="V93" s="41" t="str">
        <f t="shared" si="45"/>
        <v/>
      </c>
      <c r="W93" s="41" t="str">
        <f t="shared" si="27"/>
        <v/>
      </c>
      <c r="Y93" s="35" t="str">
        <f t="shared" si="36"/>
        <v/>
      </c>
      <c r="Z93" s="34" t="str">
        <f t="shared" si="46"/>
        <v/>
      </c>
      <c r="AA93" s="34" t="str">
        <f t="shared" si="28"/>
        <v/>
      </c>
      <c r="AC93" s="36" t="str">
        <f t="shared" si="37"/>
        <v/>
      </c>
      <c r="AE93" s="37">
        <f t="shared" si="38"/>
        <v>0</v>
      </c>
      <c r="AG93" s="56" t="str">
        <f t="shared" si="47"/>
        <v/>
      </c>
      <c r="AH93" s="57" t="str">
        <f t="shared" si="39"/>
        <v/>
      </c>
      <c r="AI93" s="57" t="str">
        <f t="shared" si="48"/>
        <v/>
      </c>
      <c r="AJ93" s="57" t="str">
        <f t="shared" si="40"/>
        <v/>
      </c>
      <c r="AK93" s="57" t="str">
        <f t="shared" si="49"/>
        <v/>
      </c>
    </row>
    <row r="94" spans="1:37">
      <c r="A94" s="2" t="str">
        <f t="shared" si="41"/>
        <v/>
      </c>
      <c r="B94" s="10" t="str">
        <f t="shared" si="29"/>
        <v/>
      </c>
      <c r="C94" s="18" t="str">
        <f t="shared" si="30"/>
        <v/>
      </c>
      <c r="D94" s="4" t="str">
        <f t="shared" si="42"/>
        <v/>
      </c>
      <c r="E94" s="4" t="str">
        <f t="shared" si="31"/>
        <v/>
      </c>
      <c r="F94" s="4" t="str">
        <f t="shared" si="32"/>
        <v/>
      </c>
      <c r="G94" s="4" t="str">
        <f t="shared" si="33"/>
        <v/>
      </c>
      <c r="H94" s="4"/>
      <c r="I94" s="4"/>
      <c r="J94" s="4"/>
      <c r="K94" s="4"/>
      <c r="L94" s="4" t="str">
        <f>IF(A94="","",IF(ISERROR(VLOOKUP(A94,'pagos anticipados'!$A$2:$B$5,2,FALSE)),0,VLOOKUP(A94,'pagos anticipados'!$A$2:B92,2,FALSE)))</f>
        <v/>
      </c>
      <c r="M94" s="4" t="str">
        <f t="shared" si="25"/>
        <v/>
      </c>
      <c r="N94" s="1">
        <f t="shared" si="26"/>
        <v>0</v>
      </c>
      <c r="Q94" s="44" t="str">
        <f t="shared" si="34"/>
        <v/>
      </c>
      <c r="R94" s="44" t="str">
        <f t="shared" si="43"/>
        <v/>
      </c>
      <c r="S94" s="44" t="str">
        <f t="shared" si="35"/>
        <v/>
      </c>
      <c r="U94" s="42" t="str">
        <f t="shared" si="44"/>
        <v/>
      </c>
      <c r="V94" s="41" t="str">
        <f t="shared" si="45"/>
        <v/>
      </c>
      <c r="W94" s="41" t="str">
        <f t="shared" si="27"/>
        <v/>
      </c>
      <c r="Y94" s="35" t="str">
        <f t="shared" si="36"/>
        <v/>
      </c>
      <c r="Z94" s="34" t="str">
        <f t="shared" si="46"/>
        <v/>
      </c>
      <c r="AA94" s="34" t="str">
        <f t="shared" si="28"/>
        <v/>
      </c>
      <c r="AC94" s="36" t="str">
        <f t="shared" si="37"/>
        <v/>
      </c>
      <c r="AE94" s="37">
        <f t="shared" si="38"/>
        <v>0</v>
      </c>
      <c r="AG94" s="56" t="str">
        <f t="shared" si="47"/>
        <v/>
      </c>
      <c r="AH94" s="57" t="str">
        <f t="shared" si="39"/>
        <v/>
      </c>
      <c r="AI94" s="57" t="str">
        <f t="shared" si="48"/>
        <v/>
      </c>
      <c r="AJ94" s="57" t="str">
        <f t="shared" si="40"/>
        <v/>
      </c>
      <c r="AK94" s="57" t="str">
        <f t="shared" si="49"/>
        <v/>
      </c>
    </row>
    <row r="95" spans="1:37">
      <c r="A95" s="2" t="str">
        <f t="shared" si="41"/>
        <v/>
      </c>
      <c r="B95" s="10" t="str">
        <f t="shared" si="29"/>
        <v/>
      </c>
      <c r="C95" s="18" t="str">
        <f t="shared" si="30"/>
        <v/>
      </c>
      <c r="D95" s="4" t="str">
        <f t="shared" si="42"/>
        <v/>
      </c>
      <c r="E95" s="4" t="str">
        <f t="shared" si="31"/>
        <v/>
      </c>
      <c r="F95" s="4" t="str">
        <f t="shared" si="32"/>
        <v/>
      </c>
      <c r="G95" s="4" t="str">
        <f t="shared" si="33"/>
        <v/>
      </c>
      <c r="H95" s="4"/>
      <c r="I95" s="4"/>
      <c r="J95" s="4"/>
      <c r="K95" s="4"/>
      <c r="L95" s="4" t="str">
        <f>IF(A95="","",IF(ISERROR(VLOOKUP(A95,'pagos anticipados'!$A$2:$B$5,2,FALSE)),0,VLOOKUP(A95,'pagos anticipados'!$A$2:B93,2,FALSE)))</f>
        <v/>
      </c>
      <c r="M95" s="4" t="str">
        <f t="shared" si="25"/>
        <v/>
      </c>
      <c r="N95" s="1">
        <f t="shared" si="26"/>
        <v>0</v>
      </c>
      <c r="Q95" s="44" t="str">
        <f t="shared" si="34"/>
        <v/>
      </c>
      <c r="R95" s="44" t="str">
        <f t="shared" si="43"/>
        <v/>
      </c>
      <c r="S95" s="44" t="str">
        <f t="shared" si="35"/>
        <v/>
      </c>
      <c r="U95" s="42" t="str">
        <f t="shared" si="44"/>
        <v/>
      </c>
      <c r="V95" s="41" t="str">
        <f t="shared" si="45"/>
        <v/>
      </c>
      <c r="W95" s="41" t="str">
        <f t="shared" si="27"/>
        <v/>
      </c>
      <c r="Y95" s="35" t="str">
        <f t="shared" si="36"/>
        <v/>
      </c>
      <c r="Z95" s="34" t="str">
        <f t="shared" si="46"/>
        <v/>
      </c>
      <c r="AA95" s="34" t="str">
        <f t="shared" si="28"/>
        <v/>
      </c>
      <c r="AC95" s="36" t="str">
        <f t="shared" si="37"/>
        <v/>
      </c>
      <c r="AE95" s="37">
        <f t="shared" si="38"/>
        <v>0</v>
      </c>
      <c r="AG95" s="56" t="str">
        <f t="shared" si="47"/>
        <v/>
      </c>
      <c r="AH95" s="57" t="str">
        <f t="shared" si="39"/>
        <v/>
      </c>
      <c r="AI95" s="57" t="str">
        <f t="shared" si="48"/>
        <v/>
      </c>
      <c r="AJ95" s="57" t="str">
        <f t="shared" si="40"/>
        <v/>
      </c>
      <c r="AK95" s="57" t="str">
        <f t="shared" si="49"/>
        <v/>
      </c>
    </row>
    <row r="96" spans="1:37">
      <c r="A96" s="2" t="str">
        <f t="shared" si="41"/>
        <v/>
      </c>
      <c r="B96" s="10" t="str">
        <f t="shared" si="29"/>
        <v/>
      </c>
      <c r="C96" s="18" t="str">
        <f t="shared" si="30"/>
        <v/>
      </c>
      <c r="D96" s="4" t="str">
        <f t="shared" si="42"/>
        <v/>
      </c>
      <c r="E96" s="4" t="str">
        <f t="shared" si="31"/>
        <v/>
      </c>
      <c r="F96" s="4" t="str">
        <f t="shared" si="32"/>
        <v/>
      </c>
      <c r="G96" s="4" t="str">
        <f t="shared" si="33"/>
        <v/>
      </c>
      <c r="H96" s="4"/>
      <c r="I96" s="4"/>
      <c r="J96" s="4"/>
      <c r="K96" s="4"/>
      <c r="L96" s="4" t="str">
        <f>IF(A96="","",IF(ISERROR(VLOOKUP(A96,'pagos anticipados'!$A$2:$B$5,2,FALSE)),0,VLOOKUP(A96,'pagos anticipados'!$A$2:B94,2,FALSE)))</f>
        <v/>
      </c>
      <c r="M96" s="4" t="str">
        <f t="shared" si="25"/>
        <v/>
      </c>
      <c r="N96" s="1">
        <f t="shared" si="26"/>
        <v>0</v>
      </c>
      <c r="Q96" s="44" t="str">
        <f t="shared" si="34"/>
        <v/>
      </c>
      <c r="R96" s="44" t="str">
        <f t="shared" si="43"/>
        <v/>
      </c>
      <c r="S96" s="44" t="str">
        <f t="shared" si="35"/>
        <v/>
      </c>
      <c r="U96" s="42" t="str">
        <f t="shared" si="44"/>
        <v/>
      </c>
      <c r="V96" s="41" t="str">
        <f t="shared" si="45"/>
        <v/>
      </c>
      <c r="W96" s="41" t="str">
        <f t="shared" si="27"/>
        <v/>
      </c>
      <c r="Y96" s="35" t="str">
        <f t="shared" si="36"/>
        <v/>
      </c>
      <c r="Z96" s="34" t="str">
        <f t="shared" si="46"/>
        <v/>
      </c>
      <c r="AA96" s="34" t="str">
        <f t="shared" si="28"/>
        <v/>
      </c>
      <c r="AC96" s="36" t="str">
        <f t="shared" si="37"/>
        <v/>
      </c>
      <c r="AE96" s="37">
        <f t="shared" si="38"/>
        <v>0</v>
      </c>
      <c r="AG96" s="56" t="str">
        <f t="shared" si="47"/>
        <v/>
      </c>
      <c r="AH96" s="57" t="str">
        <f t="shared" si="39"/>
        <v/>
      </c>
      <c r="AI96" s="57" t="str">
        <f t="shared" si="48"/>
        <v/>
      </c>
      <c r="AJ96" s="57" t="str">
        <f t="shared" si="40"/>
        <v/>
      </c>
      <c r="AK96" s="57" t="str">
        <f t="shared" si="49"/>
        <v/>
      </c>
    </row>
    <row r="97" spans="1:37">
      <c r="A97" s="2" t="str">
        <f t="shared" si="41"/>
        <v/>
      </c>
      <c r="B97" s="10" t="str">
        <f t="shared" si="29"/>
        <v/>
      </c>
      <c r="C97" s="18" t="str">
        <f t="shared" si="30"/>
        <v/>
      </c>
      <c r="D97" s="4" t="str">
        <f t="shared" si="42"/>
        <v/>
      </c>
      <c r="E97" s="4" t="str">
        <f t="shared" si="31"/>
        <v/>
      </c>
      <c r="F97" s="4" t="str">
        <f t="shared" si="32"/>
        <v/>
      </c>
      <c r="G97" s="4" t="str">
        <f t="shared" si="33"/>
        <v/>
      </c>
      <c r="H97" s="4"/>
      <c r="I97" s="4"/>
      <c r="J97" s="4"/>
      <c r="K97" s="4"/>
      <c r="L97" s="4" t="str">
        <f>IF(A97="","",IF(ISERROR(VLOOKUP(A97,'pagos anticipados'!$A$2:$B$5,2,FALSE)),0,VLOOKUP(A97,'pagos anticipados'!$A$2:B95,2,FALSE)))</f>
        <v/>
      </c>
      <c r="M97" s="4" t="str">
        <f t="shared" si="25"/>
        <v/>
      </c>
      <c r="N97" s="1">
        <f t="shared" si="26"/>
        <v>0</v>
      </c>
      <c r="Q97" s="44" t="str">
        <f t="shared" si="34"/>
        <v/>
      </c>
      <c r="R97" s="44" t="str">
        <f t="shared" si="43"/>
        <v/>
      </c>
      <c r="S97" s="44" t="str">
        <f t="shared" si="35"/>
        <v/>
      </c>
      <c r="U97" s="42" t="str">
        <f t="shared" si="44"/>
        <v/>
      </c>
      <c r="V97" s="41" t="str">
        <f t="shared" si="45"/>
        <v/>
      </c>
      <c r="W97" s="41" t="str">
        <f t="shared" si="27"/>
        <v/>
      </c>
      <c r="Y97" s="35" t="str">
        <f t="shared" si="36"/>
        <v/>
      </c>
      <c r="Z97" s="34" t="str">
        <f t="shared" si="46"/>
        <v/>
      </c>
      <c r="AA97" s="34" t="str">
        <f t="shared" si="28"/>
        <v/>
      </c>
      <c r="AC97" s="36" t="str">
        <f t="shared" si="37"/>
        <v/>
      </c>
      <c r="AE97" s="37">
        <f t="shared" si="38"/>
        <v>0</v>
      </c>
      <c r="AG97" s="56" t="str">
        <f t="shared" si="47"/>
        <v/>
      </c>
      <c r="AH97" s="57" t="str">
        <f t="shared" si="39"/>
        <v/>
      </c>
      <c r="AI97" s="57" t="str">
        <f t="shared" si="48"/>
        <v/>
      </c>
      <c r="AJ97" s="57" t="str">
        <f t="shared" si="40"/>
        <v/>
      </c>
      <c r="AK97" s="57" t="str">
        <f t="shared" si="49"/>
        <v/>
      </c>
    </row>
    <row r="98" spans="1:37">
      <c r="A98" s="2" t="str">
        <f t="shared" si="41"/>
        <v/>
      </c>
      <c r="B98" s="10" t="str">
        <f t="shared" si="29"/>
        <v/>
      </c>
      <c r="C98" s="18" t="str">
        <f t="shared" si="30"/>
        <v/>
      </c>
      <c r="D98" s="4" t="str">
        <f t="shared" si="42"/>
        <v/>
      </c>
      <c r="E98" s="4" t="str">
        <f t="shared" si="31"/>
        <v/>
      </c>
      <c r="F98" s="4" t="str">
        <f t="shared" si="32"/>
        <v/>
      </c>
      <c r="G98" s="4" t="str">
        <f t="shared" si="33"/>
        <v/>
      </c>
      <c r="H98" s="4"/>
      <c r="I98" s="4"/>
      <c r="J98" s="4"/>
      <c r="K98" s="4"/>
      <c r="L98" s="4" t="str">
        <f>IF(A98="","",IF(ISERROR(VLOOKUP(A98,'pagos anticipados'!$A$2:$B$5,2,FALSE)),0,VLOOKUP(A98,'pagos anticipados'!$A$2:B96,2,FALSE)))</f>
        <v/>
      </c>
      <c r="M98" s="4" t="str">
        <f t="shared" si="25"/>
        <v/>
      </c>
      <c r="N98" s="1">
        <f t="shared" si="26"/>
        <v>0</v>
      </c>
      <c r="Q98" s="44" t="str">
        <f t="shared" si="34"/>
        <v/>
      </c>
      <c r="R98" s="44" t="str">
        <f t="shared" si="43"/>
        <v/>
      </c>
      <c r="S98" s="44" t="str">
        <f t="shared" si="35"/>
        <v/>
      </c>
      <c r="U98" s="42" t="str">
        <f t="shared" si="44"/>
        <v/>
      </c>
      <c r="V98" s="41" t="str">
        <f t="shared" si="45"/>
        <v/>
      </c>
      <c r="W98" s="41" t="str">
        <f t="shared" si="27"/>
        <v/>
      </c>
      <c r="Y98" s="35" t="str">
        <f t="shared" si="36"/>
        <v/>
      </c>
      <c r="Z98" s="34" t="str">
        <f t="shared" si="46"/>
        <v/>
      </c>
      <c r="AA98" s="34" t="str">
        <f t="shared" si="28"/>
        <v/>
      </c>
      <c r="AC98" s="36" t="str">
        <f t="shared" si="37"/>
        <v/>
      </c>
      <c r="AE98" s="37">
        <f t="shared" si="38"/>
        <v>0</v>
      </c>
      <c r="AG98" s="56" t="str">
        <f t="shared" si="47"/>
        <v/>
      </c>
      <c r="AH98" s="57" t="str">
        <f t="shared" si="39"/>
        <v/>
      </c>
      <c r="AI98" s="57" t="str">
        <f t="shared" si="48"/>
        <v/>
      </c>
      <c r="AJ98" s="57" t="str">
        <f t="shared" si="40"/>
        <v/>
      </c>
      <c r="AK98" s="57" t="str">
        <f t="shared" si="49"/>
        <v/>
      </c>
    </row>
    <row r="99" spans="1:37">
      <c r="A99" s="2" t="str">
        <f t="shared" si="41"/>
        <v/>
      </c>
      <c r="B99" s="10" t="str">
        <f t="shared" si="29"/>
        <v/>
      </c>
      <c r="C99" s="18" t="str">
        <f t="shared" si="30"/>
        <v/>
      </c>
      <c r="D99" s="4" t="str">
        <f t="shared" si="42"/>
        <v/>
      </c>
      <c r="E99" s="4" t="str">
        <f t="shared" si="31"/>
        <v/>
      </c>
      <c r="F99" s="4" t="str">
        <f t="shared" si="32"/>
        <v/>
      </c>
      <c r="G99" s="4" t="str">
        <f t="shared" si="33"/>
        <v/>
      </c>
      <c r="H99" s="4"/>
      <c r="I99" s="4"/>
      <c r="J99" s="4"/>
      <c r="K99" s="4"/>
      <c r="L99" s="4" t="str">
        <f>IF(A99="","",IF(ISERROR(VLOOKUP(A99,'pagos anticipados'!$A$2:$B$5,2,FALSE)),0,VLOOKUP(A99,'pagos anticipados'!$A$2:B97,2,FALSE)))</f>
        <v/>
      </c>
      <c r="M99" s="4" t="str">
        <f t="shared" si="25"/>
        <v/>
      </c>
      <c r="N99" s="1">
        <f t="shared" si="26"/>
        <v>0</v>
      </c>
      <c r="Q99" s="44" t="str">
        <f t="shared" si="34"/>
        <v/>
      </c>
      <c r="R99" s="44" t="str">
        <f t="shared" si="43"/>
        <v/>
      </c>
      <c r="S99" s="44" t="str">
        <f t="shared" si="35"/>
        <v/>
      </c>
      <c r="U99" s="42" t="str">
        <f t="shared" si="44"/>
        <v/>
      </c>
      <c r="V99" s="41" t="str">
        <f t="shared" si="45"/>
        <v/>
      </c>
      <c r="W99" s="41" t="str">
        <f t="shared" si="27"/>
        <v/>
      </c>
      <c r="Y99" s="35" t="str">
        <f t="shared" si="36"/>
        <v/>
      </c>
      <c r="Z99" s="34" t="str">
        <f t="shared" si="46"/>
        <v/>
      </c>
      <c r="AA99" s="34" t="str">
        <f t="shared" si="28"/>
        <v/>
      </c>
      <c r="AC99" s="36" t="str">
        <f t="shared" si="37"/>
        <v/>
      </c>
      <c r="AE99" s="37">
        <f t="shared" si="38"/>
        <v>0</v>
      </c>
      <c r="AG99" s="56" t="str">
        <f t="shared" si="47"/>
        <v/>
      </c>
      <c r="AH99" s="57" t="str">
        <f t="shared" si="39"/>
        <v/>
      </c>
      <c r="AI99" s="57" t="str">
        <f t="shared" si="48"/>
        <v/>
      </c>
      <c r="AJ99" s="57" t="str">
        <f t="shared" si="40"/>
        <v/>
      </c>
      <c r="AK99" s="57" t="str">
        <f t="shared" si="49"/>
        <v/>
      </c>
    </row>
    <row r="100" spans="1:37">
      <c r="A100" s="2" t="str">
        <f t="shared" si="41"/>
        <v/>
      </c>
      <c r="B100" s="10" t="str">
        <f t="shared" si="29"/>
        <v/>
      </c>
      <c r="C100" s="18" t="str">
        <f t="shared" si="30"/>
        <v/>
      </c>
      <c r="D100" s="4" t="str">
        <f t="shared" si="42"/>
        <v/>
      </c>
      <c r="E100" s="4" t="str">
        <f t="shared" si="31"/>
        <v/>
      </c>
      <c r="F100" s="4" t="str">
        <f t="shared" si="32"/>
        <v/>
      </c>
      <c r="G100" s="4" t="str">
        <f t="shared" si="33"/>
        <v/>
      </c>
      <c r="H100" s="4"/>
      <c r="I100" s="4"/>
      <c r="J100" s="4"/>
      <c r="K100" s="4"/>
      <c r="L100" s="4" t="str">
        <f>IF(A100="","",IF(ISERROR(VLOOKUP(A100,'pagos anticipados'!$A$2:$B$5,2,FALSE)),0,VLOOKUP(A100,'pagos anticipados'!$A$2:B98,2,FALSE)))</f>
        <v/>
      </c>
      <c r="M100" s="4" t="str">
        <f t="shared" si="25"/>
        <v/>
      </c>
      <c r="N100" s="1">
        <f t="shared" si="26"/>
        <v>0</v>
      </c>
      <c r="Q100" s="44" t="str">
        <f t="shared" si="34"/>
        <v/>
      </c>
      <c r="R100" s="44" t="str">
        <f t="shared" si="43"/>
        <v/>
      </c>
      <c r="S100" s="44" t="str">
        <f t="shared" si="35"/>
        <v/>
      </c>
      <c r="U100" s="42" t="str">
        <f t="shared" si="44"/>
        <v/>
      </c>
      <c r="V100" s="41" t="str">
        <f t="shared" si="45"/>
        <v/>
      </c>
      <c r="W100" s="41" t="str">
        <f t="shared" si="27"/>
        <v/>
      </c>
      <c r="Y100" s="35" t="str">
        <f t="shared" si="36"/>
        <v/>
      </c>
      <c r="Z100" s="34" t="str">
        <f t="shared" si="46"/>
        <v/>
      </c>
      <c r="AA100" s="34" t="str">
        <f t="shared" si="28"/>
        <v/>
      </c>
      <c r="AC100" s="36" t="str">
        <f t="shared" si="37"/>
        <v/>
      </c>
      <c r="AE100" s="37">
        <f t="shared" si="38"/>
        <v>0</v>
      </c>
      <c r="AG100" s="56" t="str">
        <f t="shared" si="47"/>
        <v/>
      </c>
      <c r="AH100" s="57" t="str">
        <f t="shared" si="39"/>
        <v/>
      </c>
      <c r="AI100" s="57" t="str">
        <f t="shared" si="48"/>
        <v/>
      </c>
      <c r="AJ100" s="57" t="str">
        <f t="shared" si="40"/>
        <v/>
      </c>
      <c r="AK100" s="57" t="str">
        <f t="shared" si="49"/>
        <v/>
      </c>
    </row>
    <row r="101" spans="1:37">
      <c r="A101" s="2" t="str">
        <f t="shared" si="41"/>
        <v/>
      </c>
      <c r="B101" s="10" t="str">
        <f t="shared" si="29"/>
        <v/>
      </c>
      <c r="C101" s="18" t="str">
        <f t="shared" si="30"/>
        <v/>
      </c>
      <c r="D101" s="4" t="str">
        <f t="shared" si="42"/>
        <v/>
      </c>
      <c r="E101" s="4" t="str">
        <f t="shared" si="31"/>
        <v/>
      </c>
      <c r="F101" s="4" t="str">
        <f t="shared" si="32"/>
        <v/>
      </c>
      <c r="G101" s="4" t="str">
        <f t="shared" si="33"/>
        <v/>
      </c>
      <c r="H101" s="4"/>
      <c r="I101" s="4"/>
      <c r="J101" s="4"/>
      <c r="K101" s="4"/>
      <c r="L101" s="4" t="str">
        <f>IF(A101="","",IF(ISERROR(VLOOKUP(A101,'pagos anticipados'!$A$2:$B$5,2,FALSE)),0,VLOOKUP(A101,'pagos anticipados'!$A$2:B99,2,FALSE)))</f>
        <v/>
      </c>
      <c r="M101" s="4" t="str">
        <f t="shared" si="25"/>
        <v/>
      </c>
      <c r="N101" s="1">
        <f t="shared" si="26"/>
        <v>0</v>
      </c>
      <c r="Q101" s="44" t="str">
        <f t="shared" si="34"/>
        <v/>
      </c>
      <c r="R101" s="44" t="str">
        <f t="shared" si="43"/>
        <v/>
      </c>
      <c r="S101" s="44" t="str">
        <f t="shared" si="35"/>
        <v/>
      </c>
      <c r="U101" s="42" t="str">
        <f t="shared" si="44"/>
        <v/>
      </c>
      <c r="V101" s="41" t="str">
        <f t="shared" si="45"/>
        <v/>
      </c>
      <c r="W101" s="41" t="str">
        <f t="shared" si="27"/>
        <v/>
      </c>
      <c r="Y101" s="35" t="str">
        <f t="shared" si="36"/>
        <v/>
      </c>
      <c r="Z101" s="34" t="str">
        <f t="shared" si="46"/>
        <v/>
      </c>
      <c r="AA101" s="34" t="str">
        <f t="shared" si="28"/>
        <v/>
      </c>
      <c r="AC101" s="36" t="str">
        <f t="shared" si="37"/>
        <v/>
      </c>
      <c r="AE101" s="37">
        <f t="shared" si="38"/>
        <v>0</v>
      </c>
      <c r="AG101" s="56" t="str">
        <f t="shared" si="47"/>
        <v/>
      </c>
      <c r="AH101" s="57" t="str">
        <f t="shared" si="39"/>
        <v/>
      </c>
      <c r="AI101" s="57" t="str">
        <f t="shared" si="48"/>
        <v/>
      </c>
      <c r="AJ101" s="57" t="str">
        <f t="shared" si="40"/>
        <v/>
      </c>
      <c r="AK101" s="57" t="str">
        <f t="shared" si="49"/>
        <v/>
      </c>
    </row>
    <row r="102" spans="1:37">
      <c r="A102" s="2" t="str">
        <f t="shared" si="41"/>
        <v/>
      </c>
      <c r="B102" s="10" t="str">
        <f t="shared" si="29"/>
        <v/>
      </c>
      <c r="C102" s="18" t="str">
        <f t="shared" si="30"/>
        <v/>
      </c>
      <c r="D102" s="4" t="str">
        <f t="shared" si="42"/>
        <v/>
      </c>
      <c r="E102" s="4" t="str">
        <f t="shared" si="31"/>
        <v/>
      </c>
      <c r="F102" s="4" t="str">
        <f t="shared" si="32"/>
        <v/>
      </c>
      <c r="G102" s="4" t="str">
        <f t="shared" si="33"/>
        <v/>
      </c>
      <c r="H102" s="4"/>
      <c r="I102" s="4"/>
      <c r="J102" s="4"/>
      <c r="K102" s="4"/>
      <c r="L102" s="4" t="str">
        <f>IF(A102="","",IF(ISERROR(VLOOKUP(A102,'pagos anticipados'!$A$2:$B$5,2,FALSE)),0,VLOOKUP(A102,'pagos anticipados'!$A$2:B100,2,FALSE)))</f>
        <v/>
      </c>
      <c r="M102" s="4" t="str">
        <f t="shared" si="25"/>
        <v/>
      </c>
      <c r="N102" s="1">
        <f t="shared" si="26"/>
        <v>0</v>
      </c>
      <c r="Q102" s="44" t="str">
        <f t="shared" si="34"/>
        <v/>
      </c>
      <c r="R102" s="44" t="str">
        <f t="shared" si="43"/>
        <v/>
      </c>
      <c r="S102" s="44" t="str">
        <f t="shared" si="35"/>
        <v/>
      </c>
      <c r="U102" s="42" t="str">
        <f t="shared" si="44"/>
        <v/>
      </c>
      <c r="V102" s="41" t="str">
        <f t="shared" si="45"/>
        <v/>
      </c>
      <c r="W102" s="41" t="str">
        <f t="shared" si="27"/>
        <v/>
      </c>
      <c r="Y102" s="35" t="str">
        <f t="shared" si="36"/>
        <v/>
      </c>
      <c r="Z102" s="34" t="str">
        <f t="shared" si="46"/>
        <v/>
      </c>
      <c r="AA102" s="34" t="str">
        <f t="shared" si="28"/>
        <v/>
      </c>
      <c r="AC102" s="36" t="str">
        <f t="shared" si="37"/>
        <v/>
      </c>
      <c r="AE102" s="37">
        <f t="shared" si="38"/>
        <v>0</v>
      </c>
      <c r="AG102" s="56" t="str">
        <f t="shared" si="47"/>
        <v/>
      </c>
      <c r="AH102" s="57" t="str">
        <f t="shared" si="39"/>
        <v/>
      </c>
      <c r="AI102" s="57" t="str">
        <f t="shared" si="48"/>
        <v/>
      </c>
      <c r="AJ102" s="57" t="str">
        <f t="shared" si="40"/>
        <v/>
      </c>
      <c r="AK102" s="57" t="str">
        <f t="shared" si="49"/>
        <v/>
      </c>
    </row>
    <row r="103" spans="1:37">
      <c r="A103" s="2" t="str">
        <f t="shared" si="41"/>
        <v/>
      </c>
      <c r="B103" s="10" t="str">
        <f t="shared" si="29"/>
        <v/>
      </c>
      <c r="C103" s="18" t="str">
        <f t="shared" si="30"/>
        <v/>
      </c>
      <c r="D103" s="4" t="str">
        <f t="shared" si="42"/>
        <v/>
      </c>
      <c r="E103" s="4" t="str">
        <f t="shared" si="31"/>
        <v/>
      </c>
      <c r="F103" s="4" t="str">
        <f t="shared" si="32"/>
        <v/>
      </c>
      <c r="G103" s="4" t="str">
        <f t="shared" si="33"/>
        <v/>
      </c>
      <c r="H103" s="4"/>
      <c r="I103" s="4"/>
      <c r="J103" s="4"/>
      <c r="K103" s="4"/>
      <c r="L103" s="4" t="str">
        <f>IF(A103="","",IF(ISERROR(VLOOKUP(A103,'pagos anticipados'!$A$2:$B$5,2,FALSE)),0,VLOOKUP(A103,'pagos anticipados'!$A$2:B101,2,FALSE)))</f>
        <v/>
      </c>
      <c r="M103" s="4" t="str">
        <f t="shared" si="25"/>
        <v/>
      </c>
      <c r="N103" s="1">
        <f t="shared" si="26"/>
        <v>0</v>
      </c>
      <c r="Q103" s="44" t="str">
        <f t="shared" si="34"/>
        <v/>
      </c>
      <c r="R103" s="44" t="str">
        <f t="shared" si="43"/>
        <v/>
      </c>
      <c r="S103" s="44" t="str">
        <f t="shared" si="35"/>
        <v/>
      </c>
      <c r="U103" s="42" t="str">
        <f t="shared" si="44"/>
        <v/>
      </c>
      <c r="V103" s="41" t="str">
        <f t="shared" si="45"/>
        <v/>
      </c>
      <c r="W103" s="41" t="str">
        <f t="shared" si="27"/>
        <v/>
      </c>
      <c r="Y103" s="35" t="str">
        <f t="shared" si="36"/>
        <v/>
      </c>
      <c r="Z103" s="34" t="str">
        <f t="shared" si="46"/>
        <v/>
      </c>
      <c r="AA103" s="34" t="str">
        <f t="shared" si="28"/>
        <v/>
      </c>
      <c r="AC103" s="36" t="str">
        <f t="shared" si="37"/>
        <v/>
      </c>
      <c r="AE103" s="37">
        <f t="shared" si="38"/>
        <v>0</v>
      </c>
      <c r="AG103" s="56" t="str">
        <f t="shared" si="47"/>
        <v/>
      </c>
      <c r="AH103" s="57" t="str">
        <f t="shared" si="39"/>
        <v/>
      </c>
      <c r="AI103" s="57" t="str">
        <f t="shared" si="48"/>
        <v/>
      </c>
      <c r="AJ103" s="57" t="str">
        <f t="shared" si="40"/>
        <v/>
      </c>
      <c r="AK103" s="57" t="str">
        <f t="shared" si="49"/>
        <v/>
      </c>
    </row>
    <row r="104" spans="1:37">
      <c r="A104" s="2" t="str">
        <f t="shared" si="41"/>
        <v/>
      </c>
      <c r="B104" s="10" t="str">
        <f t="shared" si="29"/>
        <v/>
      </c>
      <c r="C104" s="18" t="str">
        <f t="shared" si="30"/>
        <v/>
      </c>
      <c r="D104" s="4" t="str">
        <f t="shared" si="42"/>
        <v/>
      </c>
      <c r="E104" s="4" t="str">
        <f t="shared" si="31"/>
        <v/>
      </c>
      <c r="F104" s="4" t="str">
        <f t="shared" si="32"/>
        <v/>
      </c>
      <c r="G104" s="4" t="str">
        <f t="shared" si="33"/>
        <v/>
      </c>
      <c r="H104" s="4"/>
      <c r="I104" s="4"/>
      <c r="J104" s="4"/>
      <c r="K104" s="4"/>
      <c r="L104" s="4" t="str">
        <f>IF(A104="","",IF(ISERROR(VLOOKUP(A104,'pagos anticipados'!$A$2:$B$5,2,FALSE)),0,VLOOKUP(A104,'pagos anticipados'!$A$2:B102,2,FALSE)))</f>
        <v/>
      </c>
      <c r="M104" s="4" t="str">
        <f t="shared" si="25"/>
        <v/>
      </c>
      <c r="N104" s="1">
        <f t="shared" si="26"/>
        <v>0</v>
      </c>
      <c r="Q104" s="44" t="str">
        <f t="shared" si="34"/>
        <v/>
      </c>
      <c r="R104" s="44" t="str">
        <f t="shared" si="43"/>
        <v/>
      </c>
      <c r="S104" s="44" t="str">
        <f t="shared" si="35"/>
        <v/>
      </c>
      <c r="U104" s="42" t="str">
        <f t="shared" si="44"/>
        <v/>
      </c>
      <c r="V104" s="41" t="str">
        <f t="shared" si="45"/>
        <v/>
      </c>
      <c r="W104" s="41" t="str">
        <f t="shared" si="27"/>
        <v/>
      </c>
      <c r="Y104" s="35" t="str">
        <f t="shared" si="36"/>
        <v/>
      </c>
      <c r="Z104" s="34" t="str">
        <f t="shared" si="46"/>
        <v/>
      </c>
      <c r="AA104" s="34" t="str">
        <f t="shared" si="28"/>
        <v/>
      </c>
      <c r="AC104" s="36" t="str">
        <f t="shared" si="37"/>
        <v/>
      </c>
      <c r="AE104" s="37">
        <f t="shared" si="38"/>
        <v>0</v>
      </c>
      <c r="AG104" s="56" t="str">
        <f t="shared" si="47"/>
        <v/>
      </c>
      <c r="AH104" s="57" t="str">
        <f t="shared" si="39"/>
        <v/>
      </c>
      <c r="AI104" s="57" t="str">
        <f t="shared" si="48"/>
        <v/>
      </c>
      <c r="AJ104" s="57" t="str">
        <f t="shared" si="40"/>
        <v/>
      </c>
      <c r="AK104" s="57" t="str">
        <f t="shared" si="49"/>
        <v/>
      </c>
    </row>
    <row r="105" spans="1:37">
      <c r="A105" s="2" t="str">
        <f t="shared" si="41"/>
        <v/>
      </c>
      <c r="B105" s="10" t="str">
        <f t="shared" si="29"/>
        <v/>
      </c>
      <c r="C105" s="18" t="str">
        <f t="shared" si="30"/>
        <v/>
      </c>
      <c r="D105" s="4" t="str">
        <f t="shared" si="42"/>
        <v/>
      </c>
      <c r="E105" s="4" t="str">
        <f t="shared" si="31"/>
        <v/>
      </c>
      <c r="F105" s="4" t="str">
        <f t="shared" si="32"/>
        <v/>
      </c>
      <c r="G105" s="4" t="str">
        <f t="shared" si="33"/>
        <v/>
      </c>
      <c r="H105" s="4"/>
      <c r="I105" s="4"/>
      <c r="J105" s="4"/>
      <c r="K105" s="4"/>
      <c r="L105" s="4" t="str">
        <f>IF(A105="","",IF(ISERROR(VLOOKUP(A105,'pagos anticipados'!$A$2:$B$5,2,FALSE)),0,VLOOKUP(A105,'pagos anticipados'!$A$2:B103,2,FALSE)))</f>
        <v/>
      </c>
      <c r="M105" s="4" t="str">
        <f t="shared" si="25"/>
        <v/>
      </c>
      <c r="N105" s="1">
        <f t="shared" si="26"/>
        <v>0</v>
      </c>
      <c r="Q105" s="44" t="str">
        <f t="shared" si="34"/>
        <v/>
      </c>
      <c r="R105" s="44" t="str">
        <f t="shared" si="43"/>
        <v/>
      </c>
      <c r="S105" s="44" t="str">
        <f t="shared" si="35"/>
        <v/>
      </c>
      <c r="U105" s="42" t="str">
        <f t="shared" si="44"/>
        <v/>
      </c>
      <c r="V105" s="41" t="str">
        <f t="shared" si="45"/>
        <v/>
      </c>
      <c r="W105" s="41" t="str">
        <f t="shared" si="27"/>
        <v/>
      </c>
      <c r="Y105" s="35" t="str">
        <f t="shared" si="36"/>
        <v/>
      </c>
      <c r="Z105" s="34" t="str">
        <f t="shared" si="46"/>
        <v/>
      </c>
      <c r="AA105" s="34" t="str">
        <f t="shared" si="28"/>
        <v/>
      </c>
      <c r="AC105" s="36" t="str">
        <f t="shared" si="37"/>
        <v/>
      </c>
      <c r="AE105" s="37">
        <f t="shared" si="38"/>
        <v>0</v>
      </c>
      <c r="AG105" s="56" t="str">
        <f t="shared" si="47"/>
        <v/>
      </c>
      <c r="AH105" s="57" t="str">
        <f t="shared" si="39"/>
        <v/>
      </c>
      <c r="AI105" s="57" t="str">
        <f t="shared" si="48"/>
        <v/>
      </c>
      <c r="AJ105" s="57" t="str">
        <f t="shared" si="40"/>
        <v/>
      </c>
      <c r="AK105" s="57" t="str">
        <f t="shared" si="49"/>
        <v/>
      </c>
    </row>
    <row r="106" spans="1:37">
      <c r="A106" s="2" t="str">
        <f t="shared" si="41"/>
        <v/>
      </c>
      <c r="B106" s="10" t="str">
        <f t="shared" si="29"/>
        <v/>
      </c>
      <c r="C106" s="18" t="str">
        <f t="shared" si="30"/>
        <v/>
      </c>
      <c r="D106" s="4" t="str">
        <f t="shared" si="42"/>
        <v/>
      </c>
      <c r="E106" s="4" t="str">
        <f t="shared" si="31"/>
        <v/>
      </c>
      <c r="F106" s="4" t="str">
        <f t="shared" si="32"/>
        <v/>
      </c>
      <c r="G106" s="4" t="str">
        <f t="shared" si="33"/>
        <v/>
      </c>
      <c r="H106" s="4"/>
      <c r="I106" s="4"/>
      <c r="J106" s="4"/>
      <c r="K106" s="4"/>
      <c r="L106" s="4" t="str">
        <f>IF(A106="","",IF(ISERROR(VLOOKUP(A106,'pagos anticipados'!$A$2:$B$5,2,FALSE)),0,VLOOKUP(A106,'pagos anticipados'!$A$2:B104,2,FALSE)))</f>
        <v/>
      </c>
      <c r="M106" s="4" t="str">
        <f t="shared" si="25"/>
        <v/>
      </c>
      <c r="N106" s="1">
        <f t="shared" si="26"/>
        <v>0</v>
      </c>
      <c r="Q106" s="44" t="str">
        <f t="shared" si="34"/>
        <v/>
      </c>
      <c r="R106" s="44" t="str">
        <f t="shared" si="43"/>
        <v/>
      </c>
      <c r="S106" s="44" t="str">
        <f t="shared" si="35"/>
        <v/>
      </c>
      <c r="U106" s="42" t="str">
        <f t="shared" si="44"/>
        <v/>
      </c>
      <c r="V106" s="41" t="str">
        <f t="shared" si="45"/>
        <v/>
      </c>
      <c r="W106" s="41" t="str">
        <f t="shared" si="27"/>
        <v/>
      </c>
      <c r="Y106" s="35" t="str">
        <f t="shared" si="36"/>
        <v/>
      </c>
      <c r="Z106" s="34" t="str">
        <f t="shared" si="46"/>
        <v/>
      </c>
      <c r="AA106" s="34" t="str">
        <f t="shared" si="28"/>
        <v/>
      </c>
      <c r="AC106" s="36" t="str">
        <f t="shared" si="37"/>
        <v/>
      </c>
      <c r="AE106" s="37">
        <f t="shared" si="38"/>
        <v>0</v>
      </c>
      <c r="AG106" s="56" t="str">
        <f t="shared" si="47"/>
        <v/>
      </c>
      <c r="AH106" s="57" t="str">
        <f t="shared" si="39"/>
        <v/>
      </c>
      <c r="AI106" s="57" t="str">
        <f t="shared" si="48"/>
        <v/>
      </c>
      <c r="AJ106" s="57" t="str">
        <f t="shared" si="40"/>
        <v/>
      </c>
      <c r="AK106" s="57" t="str">
        <f t="shared" si="49"/>
        <v/>
      </c>
    </row>
    <row r="107" spans="1:37">
      <c r="A107" s="2" t="str">
        <f t="shared" si="41"/>
        <v/>
      </c>
      <c r="B107" s="10" t="str">
        <f t="shared" si="29"/>
        <v/>
      </c>
      <c r="C107" s="18" t="str">
        <f t="shared" si="30"/>
        <v/>
      </c>
      <c r="D107" s="4" t="str">
        <f t="shared" si="42"/>
        <v/>
      </c>
      <c r="E107" s="4" t="str">
        <f t="shared" si="31"/>
        <v/>
      </c>
      <c r="F107" s="4" t="str">
        <f t="shared" si="32"/>
        <v/>
      </c>
      <c r="G107" s="4" t="str">
        <f t="shared" si="33"/>
        <v/>
      </c>
      <c r="H107" s="4"/>
      <c r="I107" s="4"/>
      <c r="J107" s="4"/>
      <c r="K107" s="4"/>
      <c r="L107" s="4" t="str">
        <f>IF(A107="","",IF(ISERROR(VLOOKUP(A107,'pagos anticipados'!$A$2:$B$5,2,FALSE)),0,VLOOKUP(A107,'pagos anticipados'!$A$2:B105,2,FALSE)))</f>
        <v/>
      </c>
      <c r="M107" s="4" t="str">
        <f t="shared" si="25"/>
        <v/>
      </c>
      <c r="N107" s="1">
        <f t="shared" si="26"/>
        <v>0</v>
      </c>
      <c r="Q107" s="44" t="str">
        <f t="shared" si="34"/>
        <v/>
      </c>
      <c r="R107" s="44" t="str">
        <f t="shared" si="43"/>
        <v/>
      </c>
      <c r="S107" s="44" t="str">
        <f t="shared" si="35"/>
        <v/>
      </c>
      <c r="U107" s="42" t="str">
        <f t="shared" si="44"/>
        <v/>
      </c>
      <c r="V107" s="41" t="str">
        <f t="shared" si="45"/>
        <v/>
      </c>
      <c r="W107" s="41" t="str">
        <f t="shared" si="27"/>
        <v/>
      </c>
      <c r="Y107" s="35" t="str">
        <f t="shared" si="36"/>
        <v/>
      </c>
      <c r="Z107" s="34" t="str">
        <f t="shared" si="46"/>
        <v/>
      </c>
      <c r="AA107" s="34" t="str">
        <f t="shared" si="28"/>
        <v/>
      </c>
      <c r="AC107" s="36" t="str">
        <f t="shared" si="37"/>
        <v/>
      </c>
      <c r="AE107" s="37">
        <f t="shared" si="38"/>
        <v>0</v>
      </c>
      <c r="AG107" s="56" t="str">
        <f t="shared" si="47"/>
        <v/>
      </c>
      <c r="AH107" s="57" t="str">
        <f t="shared" si="39"/>
        <v/>
      </c>
      <c r="AI107" s="57" t="str">
        <f t="shared" si="48"/>
        <v/>
      </c>
      <c r="AJ107" s="57" t="str">
        <f t="shared" si="40"/>
        <v/>
      </c>
      <c r="AK107" s="57" t="str">
        <f t="shared" si="49"/>
        <v/>
      </c>
    </row>
    <row r="108" spans="1:37">
      <c r="A108" s="2" t="str">
        <f t="shared" si="41"/>
        <v/>
      </c>
      <c r="B108" s="10" t="str">
        <f t="shared" si="29"/>
        <v/>
      </c>
      <c r="C108" s="18" t="str">
        <f t="shared" si="30"/>
        <v/>
      </c>
      <c r="D108" s="4" t="str">
        <f t="shared" si="42"/>
        <v/>
      </c>
      <c r="E108" s="4" t="str">
        <f t="shared" si="31"/>
        <v/>
      </c>
      <c r="F108" s="4" t="str">
        <f t="shared" si="32"/>
        <v/>
      </c>
      <c r="G108" s="4" t="str">
        <f t="shared" si="33"/>
        <v/>
      </c>
      <c r="H108" s="4"/>
      <c r="I108" s="4"/>
      <c r="J108" s="4"/>
      <c r="K108" s="4"/>
      <c r="L108" s="4" t="str">
        <f>IF(A108="","",IF(ISERROR(VLOOKUP(A108,'pagos anticipados'!$A$2:$B$5,2,FALSE)),0,VLOOKUP(A108,'pagos anticipados'!$A$2:B106,2,FALSE)))</f>
        <v/>
      </c>
      <c r="M108" s="4" t="str">
        <f t="shared" si="25"/>
        <v/>
      </c>
      <c r="N108" s="1">
        <f t="shared" si="26"/>
        <v>0</v>
      </c>
      <c r="Q108" s="44" t="str">
        <f t="shared" si="34"/>
        <v/>
      </c>
      <c r="R108" s="44" t="str">
        <f t="shared" si="43"/>
        <v/>
      </c>
      <c r="S108" s="44" t="str">
        <f t="shared" si="35"/>
        <v/>
      </c>
      <c r="U108" s="42" t="str">
        <f t="shared" si="44"/>
        <v/>
      </c>
      <c r="V108" s="41" t="str">
        <f t="shared" si="45"/>
        <v/>
      </c>
      <c r="W108" s="41" t="str">
        <f t="shared" si="27"/>
        <v/>
      </c>
      <c r="Y108" s="35" t="str">
        <f t="shared" si="36"/>
        <v/>
      </c>
      <c r="Z108" s="34" t="str">
        <f t="shared" si="46"/>
        <v/>
      </c>
      <c r="AA108" s="34" t="str">
        <f t="shared" si="28"/>
        <v/>
      </c>
      <c r="AC108" s="36" t="str">
        <f t="shared" si="37"/>
        <v/>
      </c>
      <c r="AE108" s="37">
        <f t="shared" si="38"/>
        <v>0</v>
      </c>
      <c r="AG108" s="56" t="str">
        <f t="shared" si="47"/>
        <v/>
      </c>
      <c r="AH108" s="57" t="str">
        <f t="shared" si="39"/>
        <v/>
      </c>
      <c r="AI108" s="57" t="str">
        <f t="shared" si="48"/>
        <v/>
      </c>
      <c r="AJ108" s="57" t="str">
        <f t="shared" si="40"/>
        <v/>
      </c>
      <c r="AK108" s="57" t="str">
        <f t="shared" si="49"/>
        <v/>
      </c>
    </row>
    <row r="109" spans="1:37">
      <c r="A109" s="2" t="str">
        <f t="shared" si="41"/>
        <v/>
      </c>
      <c r="B109" s="10" t="str">
        <f t="shared" si="29"/>
        <v/>
      </c>
      <c r="C109" s="18" t="str">
        <f t="shared" si="30"/>
        <v/>
      </c>
      <c r="D109" s="4" t="str">
        <f t="shared" si="42"/>
        <v/>
      </c>
      <c r="E109" s="4" t="str">
        <f t="shared" si="31"/>
        <v/>
      </c>
      <c r="F109" s="4" t="str">
        <f t="shared" si="32"/>
        <v/>
      </c>
      <c r="G109" s="4" t="str">
        <f t="shared" si="33"/>
        <v/>
      </c>
      <c r="H109" s="4"/>
      <c r="I109" s="4"/>
      <c r="J109" s="4"/>
      <c r="K109" s="4"/>
      <c r="L109" s="4" t="str">
        <f>IF(A109="","",IF(ISERROR(VLOOKUP(A109,'pagos anticipados'!$A$2:$B$5,2,FALSE)),0,VLOOKUP(A109,'pagos anticipados'!$A$2:B107,2,FALSE)))</f>
        <v/>
      </c>
      <c r="M109" s="4" t="str">
        <f t="shared" si="25"/>
        <v/>
      </c>
      <c r="N109" s="1">
        <f t="shared" si="26"/>
        <v>0</v>
      </c>
      <c r="Q109" s="44" t="str">
        <f t="shared" si="34"/>
        <v/>
      </c>
      <c r="R109" s="44" t="str">
        <f t="shared" si="43"/>
        <v/>
      </c>
      <c r="S109" s="44" t="str">
        <f t="shared" si="35"/>
        <v/>
      </c>
      <c r="U109" s="42" t="str">
        <f t="shared" si="44"/>
        <v/>
      </c>
      <c r="V109" s="41" t="str">
        <f t="shared" si="45"/>
        <v/>
      </c>
      <c r="W109" s="41" t="str">
        <f t="shared" si="27"/>
        <v/>
      </c>
      <c r="Y109" s="35" t="str">
        <f t="shared" si="36"/>
        <v/>
      </c>
      <c r="Z109" s="34" t="str">
        <f t="shared" si="46"/>
        <v/>
      </c>
      <c r="AA109" s="34" t="str">
        <f t="shared" si="28"/>
        <v/>
      </c>
      <c r="AC109" s="36" t="str">
        <f t="shared" si="37"/>
        <v/>
      </c>
      <c r="AE109" s="37">
        <f t="shared" si="38"/>
        <v>0</v>
      </c>
      <c r="AG109" s="56" t="str">
        <f t="shared" si="47"/>
        <v/>
      </c>
      <c r="AH109" s="57" t="str">
        <f t="shared" si="39"/>
        <v/>
      </c>
      <c r="AI109" s="57" t="str">
        <f t="shared" si="48"/>
        <v/>
      </c>
      <c r="AJ109" s="57" t="str">
        <f t="shared" si="40"/>
        <v/>
      </c>
      <c r="AK109" s="57" t="str">
        <f t="shared" si="49"/>
        <v/>
      </c>
    </row>
    <row r="110" spans="1:37">
      <c r="A110" s="2" t="str">
        <f t="shared" si="41"/>
        <v/>
      </c>
      <c r="B110" s="10" t="str">
        <f t="shared" si="29"/>
        <v/>
      </c>
      <c r="C110" s="18" t="str">
        <f t="shared" si="30"/>
        <v/>
      </c>
      <c r="D110" s="4" t="str">
        <f t="shared" si="42"/>
        <v/>
      </c>
      <c r="E110" s="4" t="str">
        <f t="shared" si="31"/>
        <v/>
      </c>
      <c r="F110" s="4" t="str">
        <f t="shared" si="32"/>
        <v/>
      </c>
      <c r="G110" s="4" t="str">
        <f t="shared" si="33"/>
        <v/>
      </c>
      <c r="H110" s="4"/>
      <c r="I110" s="4"/>
      <c r="J110" s="4"/>
      <c r="K110" s="4"/>
      <c r="L110" s="4" t="str">
        <f>IF(A110="","",IF(ISERROR(VLOOKUP(A110,'pagos anticipados'!$A$2:$B$5,2,FALSE)),0,VLOOKUP(A110,'pagos anticipados'!$A$2:B108,2,FALSE)))</f>
        <v/>
      </c>
      <c r="M110" s="4" t="str">
        <f t="shared" si="25"/>
        <v/>
      </c>
      <c r="N110" s="1">
        <f t="shared" si="26"/>
        <v>0</v>
      </c>
      <c r="Q110" s="44" t="str">
        <f t="shared" si="34"/>
        <v/>
      </c>
      <c r="R110" s="44" t="str">
        <f t="shared" si="43"/>
        <v/>
      </c>
      <c r="S110" s="44" t="str">
        <f t="shared" si="35"/>
        <v/>
      </c>
      <c r="U110" s="42" t="str">
        <f t="shared" si="44"/>
        <v/>
      </c>
      <c r="V110" s="41" t="str">
        <f t="shared" si="45"/>
        <v/>
      </c>
      <c r="W110" s="41" t="str">
        <f t="shared" si="27"/>
        <v/>
      </c>
      <c r="Y110" s="35" t="str">
        <f t="shared" si="36"/>
        <v/>
      </c>
      <c r="Z110" s="34" t="str">
        <f t="shared" si="46"/>
        <v/>
      </c>
      <c r="AA110" s="34" t="str">
        <f t="shared" si="28"/>
        <v/>
      </c>
      <c r="AC110" s="36" t="str">
        <f t="shared" si="37"/>
        <v/>
      </c>
      <c r="AE110" s="37">
        <f t="shared" si="38"/>
        <v>0</v>
      </c>
      <c r="AG110" s="56" t="str">
        <f t="shared" si="47"/>
        <v/>
      </c>
      <c r="AH110" s="57" t="str">
        <f t="shared" si="39"/>
        <v/>
      </c>
      <c r="AI110" s="57" t="str">
        <f t="shared" si="48"/>
        <v/>
      </c>
      <c r="AJ110" s="57" t="str">
        <f t="shared" si="40"/>
        <v/>
      </c>
      <c r="AK110" s="57" t="str">
        <f t="shared" si="49"/>
        <v/>
      </c>
    </row>
    <row r="111" spans="1:37">
      <c r="A111" s="2" t="str">
        <f t="shared" si="41"/>
        <v/>
      </c>
      <c r="B111" s="10" t="str">
        <f t="shared" si="29"/>
        <v/>
      </c>
      <c r="C111" s="18" t="str">
        <f t="shared" si="30"/>
        <v/>
      </c>
      <c r="D111" s="4" t="str">
        <f t="shared" si="42"/>
        <v/>
      </c>
      <c r="E111" s="4" t="str">
        <f t="shared" si="31"/>
        <v/>
      </c>
      <c r="F111" s="4" t="str">
        <f t="shared" si="32"/>
        <v/>
      </c>
      <c r="G111" s="4" t="str">
        <f t="shared" si="33"/>
        <v/>
      </c>
      <c r="H111" s="4"/>
      <c r="I111" s="4"/>
      <c r="J111" s="4"/>
      <c r="K111" s="4"/>
      <c r="L111" s="4" t="str">
        <f>IF(A111="","",IF(ISERROR(VLOOKUP(A111,'pagos anticipados'!$A$2:$B$5,2,FALSE)),0,VLOOKUP(A111,'pagos anticipados'!$A$2:B109,2,FALSE)))</f>
        <v/>
      </c>
      <c r="M111" s="4" t="str">
        <f t="shared" si="25"/>
        <v/>
      </c>
      <c r="N111" s="1">
        <f t="shared" si="26"/>
        <v>0</v>
      </c>
      <c r="Q111" s="44" t="str">
        <f t="shared" si="34"/>
        <v/>
      </c>
      <c r="R111" s="44" t="str">
        <f t="shared" si="43"/>
        <v/>
      </c>
      <c r="S111" s="44" t="str">
        <f t="shared" si="35"/>
        <v/>
      </c>
      <c r="U111" s="42" t="str">
        <f t="shared" si="44"/>
        <v/>
      </c>
      <c r="V111" s="41" t="str">
        <f t="shared" si="45"/>
        <v/>
      </c>
      <c r="W111" s="41" t="str">
        <f t="shared" si="27"/>
        <v/>
      </c>
      <c r="Y111" s="35" t="str">
        <f t="shared" si="36"/>
        <v/>
      </c>
      <c r="Z111" s="34" t="str">
        <f t="shared" si="46"/>
        <v/>
      </c>
      <c r="AA111" s="34" t="str">
        <f t="shared" si="28"/>
        <v/>
      </c>
      <c r="AC111" s="36" t="str">
        <f t="shared" si="37"/>
        <v/>
      </c>
      <c r="AE111" s="37">
        <f t="shared" si="38"/>
        <v>0</v>
      </c>
      <c r="AG111" s="56" t="str">
        <f t="shared" si="47"/>
        <v/>
      </c>
      <c r="AH111" s="57" t="str">
        <f t="shared" si="39"/>
        <v/>
      </c>
      <c r="AI111" s="57" t="str">
        <f t="shared" si="48"/>
        <v/>
      </c>
      <c r="AJ111" s="57" t="str">
        <f t="shared" si="40"/>
        <v/>
      </c>
      <c r="AK111" s="57" t="str">
        <f t="shared" si="49"/>
        <v/>
      </c>
    </row>
    <row r="112" spans="1:37">
      <c r="A112" s="2" t="str">
        <f t="shared" si="41"/>
        <v/>
      </c>
      <c r="B112" s="10" t="str">
        <f t="shared" si="29"/>
        <v/>
      </c>
      <c r="C112" s="18" t="str">
        <f t="shared" si="30"/>
        <v/>
      </c>
      <c r="D112" s="4" t="str">
        <f t="shared" si="42"/>
        <v/>
      </c>
      <c r="E112" s="4" t="str">
        <f t="shared" si="31"/>
        <v/>
      </c>
      <c r="F112" s="4" t="str">
        <f t="shared" si="32"/>
        <v/>
      </c>
      <c r="G112" s="4" t="str">
        <f t="shared" si="33"/>
        <v/>
      </c>
      <c r="H112" s="4"/>
      <c r="I112" s="4"/>
      <c r="J112" s="4"/>
      <c r="K112" s="4"/>
      <c r="L112" s="4" t="str">
        <f>IF(A112="","",IF(ISERROR(VLOOKUP(A112,'pagos anticipados'!$A$2:$B$5,2,FALSE)),0,VLOOKUP(A112,'pagos anticipados'!$A$2:B110,2,FALSE)))</f>
        <v/>
      </c>
      <c r="M112" s="4" t="str">
        <f t="shared" si="25"/>
        <v/>
      </c>
      <c r="N112" s="1">
        <f t="shared" si="26"/>
        <v>0</v>
      </c>
      <c r="Q112" s="44" t="str">
        <f t="shared" si="34"/>
        <v/>
      </c>
      <c r="R112" s="44" t="str">
        <f t="shared" si="43"/>
        <v/>
      </c>
      <c r="S112" s="44" t="str">
        <f t="shared" si="35"/>
        <v/>
      </c>
      <c r="U112" s="42" t="str">
        <f t="shared" si="44"/>
        <v/>
      </c>
      <c r="V112" s="41" t="str">
        <f t="shared" si="45"/>
        <v/>
      </c>
      <c r="W112" s="41" t="str">
        <f t="shared" si="27"/>
        <v/>
      </c>
      <c r="Y112" s="35" t="str">
        <f t="shared" si="36"/>
        <v/>
      </c>
      <c r="Z112" s="34" t="str">
        <f t="shared" si="46"/>
        <v/>
      </c>
      <c r="AA112" s="34" t="str">
        <f t="shared" si="28"/>
        <v/>
      </c>
      <c r="AC112" s="36" t="str">
        <f t="shared" si="37"/>
        <v/>
      </c>
      <c r="AE112" s="37">
        <f t="shared" si="38"/>
        <v>0</v>
      </c>
      <c r="AG112" s="56" t="str">
        <f t="shared" si="47"/>
        <v/>
      </c>
      <c r="AH112" s="57" t="str">
        <f t="shared" si="39"/>
        <v/>
      </c>
      <c r="AI112" s="57" t="str">
        <f t="shared" si="48"/>
        <v/>
      </c>
      <c r="AJ112" s="57" t="str">
        <f t="shared" si="40"/>
        <v/>
      </c>
      <c r="AK112" s="57" t="str">
        <f t="shared" si="49"/>
        <v/>
      </c>
    </row>
    <row r="113" spans="1:37">
      <c r="A113" s="2" t="str">
        <f t="shared" si="41"/>
        <v/>
      </c>
      <c r="B113" s="10" t="str">
        <f t="shared" si="29"/>
        <v/>
      </c>
      <c r="C113" s="18" t="str">
        <f t="shared" si="30"/>
        <v/>
      </c>
      <c r="D113" s="4" t="str">
        <f t="shared" si="42"/>
        <v/>
      </c>
      <c r="E113" s="4" t="str">
        <f t="shared" si="31"/>
        <v/>
      </c>
      <c r="F113" s="4" t="str">
        <f t="shared" si="32"/>
        <v/>
      </c>
      <c r="G113" s="4" t="str">
        <f t="shared" si="33"/>
        <v/>
      </c>
      <c r="H113" s="4"/>
      <c r="I113" s="4"/>
      <c r="J113" s="4"/>
      <c r="K113" s="4"/>
      <c r="L113" s="4" t="str">
        <f>IF(A113="","",IF(ISERROR(VLOOKUP(A113,'pagos anticipados'!$A$2:$B$5,2,FALSE)),0,VLOOKUP(A113,'pagos anticipados'!$A$2:B111,2,FALSE)))</f>
        <v/>
      </c>
      <c r="M113" s="4" t="str">
        <f t="shared" si="25"/>
        <v/>
      </c>
      <c r="N113" s="1">
        <f t="shared" si="26"/>
        <v>0</v>
      </c>
      <c r="Q113" s="44" t="str">
        <f t="shared" si="34"/>
        <v/>
      </c>
      <c r="R113" s="44" t="str">
        <f t="shared" si="43"/>
        <v/>
      </c>
      <c r="S113" s="44" t="str">
        <f t="shared" si="35"/>
        <v/>
      </c>
      <c r="U113" s="42" t="str">
        <f t="shared" si="44"/>
        <v/>
      </c>
      <c r="V113" s="41" t="str">
        <f t="shared" si="45"/>
        <v/>
      </c>
      <c r="W113" s="41" t="str">
        <f t="shared" si="27"/>
        <v/>
      </c>
      <c r="Y113" s="35" t="str">
        <f t="shared" si="36"/>
        <v/>
      </c>
      <c r="Z113" s="34" t="str">
        <f t="shared" si="46"/>
        <v/>
      </c>
      <c r="AA113" s="34" t="str">
        <f t="shared" si="28"/>
        <v/>
      </c>
      <c r="AC113" s="36" t="str">
        <f t="shared" si="37"/>
        <v/>
      </c>
      <c r="AE113" s="37">
        <f t="shared" si="38"/>
        <v>0</v>
      </c>
      <c r="AG113" s="56" t="str">
        <f t="shared" si="47"/>
        <v/>
      </c>
      <c r="AH113" s="57" t="str">
        <f t="shared" si="39"/>
        <v/>
      </c>
      <c r="AI113" s="57" t="str">
        <f t="shared" si="48"/>
        <v/>
      </c>
      <c r="AJ113" s="57" t="str">
        <f t="shared" si="40"/>
        <v/>
      </c>
      <c r="AK113" s="57" t="str">
        <f t="shared" si="49"/>
        <v/>
      </c>
    </row>
    <row r="114" spans="1:37">
      <c r="A114" s="2" t="str">
        <f t="shared" si="41"/>
        <v/>
      </c>
      <c r="B114" s="10" t="str">
        <f t="shared" si="29"/>
        <v/>
      </c>
      <c r="C114" s="18" t="str">
        <f t="shared" si="30"/>
        <v/>
      </c>
      <c r="D114" s="4" t="str">
        <f t="shared" si="42"/>
        <v/>
      </c>
      <c r="E114" s="4" t="str">
        <f t="shared" si="31"/>
        <v/>
      </c>
      <c r="F114" s="4" t="str">
        <f t="shared" si="32"/>
        <v/>
      </c>
      <c r="G114" s="4" t="str">
        <f t="shared" si="33"/>
        <v/>
      </c>
      <c r="H114" s="4"/>
      <c r="I114" s="4"/>
      <c r="J114" s="4"/>
      <c r="K114" s="4"/>
      <c r="L114" s="4" t="str">
        <f>IF(A114="","",IF(ISERROR(VLOOKUP(A114,'pagos anticipados'!$A$2:$B$5,2,FALSE)),0,VLOOKUP(A114,'pagos anticipados'!$A$2:B112,2,FALSE)))</f>
        <v/>
      </c>
      <c r="M114" s="4" t="str">
        <f t="shared" si="25"/>
        <v/>
      </c>
      <c r="N114" s="1">
        <f t="shared" si="26"/>
        <v>0</v>
      </c>
      <c r="Q114" s="44" t="str">
        <f t="shared" si="34"/>
        <v/>
      </c>
      <c r="R114" s="44" t="str">
        <f t="shared" si="43"/>
        <v/>
      </c>
      <c r="S114" s="44" t="str">
        <f t="shared" si="35"/>
        <v/>
      </c>
      <c r="U114" s="42" t="str">
        <f t="shared" si="44"/>
        <v/>
      </c>
      <c r="V114" s="41" t="str">
        <f t="shared" si="45"/>
        <v/>
      </c>
      <c r="W114" s="41" t="str">
        <f t="shared" si="27"/>
        <v/>
      </c>
      <c r="Y114" s="35" t="str">
        <f t="shared" si="36"/>
        <v/>
      </c>
      <c r="Z114" s="34" t="str">
        <f t="shared" si="46"/>
        <v/>
      </c>
      <c r="AA114" s="34" t="str">
        <f t="shared" si="28"/>
        <v/>
      </c>
      <c r="AC114" s="36" t="str">
        <f t="shared" si="37"/>
        <v/>
      </c>
      <c r="AE114" s="37">
        <f t="shared" si="38"/>
        <v>0</v>
      </c>
      <c r="AG114" s="56" t="str">
        <f t="shared" si="47"/>
        <v/>
      </c>
      <c r="AH114" s="57" t="str">
        <f t="shared" si="39"/>
        <v/>
      </c>
      <c r="AI114" s="57" t="str">
        <f t="shared" si="48"/>
        <v/>
      </c>
      <c r="AJ114" s="57" t="str">
        <f t="shared" si="40"/>
        <v/>
      </c>
      <c r="AK114" s="57" t="str">
        <f t="shared" si="49"/>
        <v/>
      </c>
    </row>
    <row r="115" spans="1:37">
      <c r="A115" s="2" t="str">
        <f t="shared" si="41"/>
        <v/>
      </c>
      <c r="B115" s="10" t="str">
        <f t="shared" si="29"/>
        <v/>
      </c>
      <c r="C115" s="18" t="str">
        <f t="shared" si="30"/>
        <v/>
      </c>
      <c r="D115" s="4" t="str">
        <f t="shared" si="42"/>
        <v/>
      </c>
      <c r="E115" s="4" t="str">
        <f t="shared" si="31"/>
        <v/>
      </c>
      <c r="F115" s="4" t="str">
        <f t="shared" si="32"/>
        <v/>
      </c>
      <c r="G115" s="4" t="str">
        <f t="shared" si="33"/>
        <v/>
      </c>
      <c r="H115" s="4"/>
      <c r="I115" s="4"/>
      <c r="J115" s="4"/>
      <c r="K115" s="4"/>
      <c r="L115" s="4" t="str">
        <f>IF(A115="","",IF(ISERROR(VLOOKUP(A115,'pagos anticipados'!$A$2:$B$5,2,FALSE)),0,VLOOKUP(A115,'pagos anticipados'!$A$2:B113,2,FALSE)))</f>
        <v/>
      </c>
      <c r="M115" s="4" t="str">
        <f t="shared" si="25"/>
        <v/>
      </c>
      <c r="N115" s="1">
        <f t="shared" si="26"/>
        <v>0</v>
      </c>
      <c r="Q115" s="44" t="str">
        <f t="shared" si="34"/>
        <v/>
      </c>
      <c r="R115" s="44" t="str">
        <f t="shared" si="43"/>
        <v/>
      </c>
      <c r="S115" s="44" t="str">
        <f t="shared" si="35"/>
        <v/>
      </c>
      <c r="U115" s="42" t="str">
        <f t="shared" si="44"/>
        <v/>
      </c>
      <c r="V115" s="41" t="str">
        <f t="shared" si="45"/>
        <v/>
      </c>
      <c r="W115" s="41" t="str">
        <f t="shared" si="27"/>
        <v/>
      </c>
      <c r="Y115" s="35" t="str">
        <f t="shared" si="36"/>
        <v/>
      </c>
      <c r="Z115" s="34" t="str">
        <f t="shared" si="46"/>
        <v/>
      </c>
      <c r="AA115" s="34" t="str">
        <f t="shared" si="28"/>
        <v/>
      </c>
      <c r="AC115" s="36" t="str">
        <f t="shared" si="37"/>
        <v/>
      </c>
      <c r="AE115" s="37">
        <f t="shared" si="38"/>
        <v>0</v>
      </c>
      <c r="AG115" s="56" t="str">
        <f t="shared" si="47"/>
        <v/>
      </c>
      <c r="AH115" s="57" t="str">
        <f t="shared" si="39"/>
        <v/>
      </c>
      <c r="AI115" s="57" t="str">
        <f t="shared" si="48"/>
        <v/>
      </c>
      <c r="AJ115" s="57" t="str">
        <f t="shared" si="40"/>
        <v/>
      </c>
      <c r="AK115" s="57" t="str">
        <f t="shared" si="49"/>
        <v/>
      </c>
    </row>
    <row r="116" spans="1:37">
      <c r="A116" s="2" t="str">
        <f t="shared" si="41"/>
        <v/>
      </c>
      <c r="B116" s="10" t="str">
        <f t="shared" si="29"/>
        <v/>
      </c>
      <c r="C116" s="18" t="str">
        <f t="shared" si="30"/>
        <v/>
      </c>
      <c r="D116" s="4" t="str">
        <f t="shared" si="42"/>
        <v/>
      </c>
      <c r="E116" s="4" t="str">
        <f t="shared" si="31"/>
        <v/>
      </c>
      <c r="F116" s="4" t="str">
        <f t="shared" si="32"/>
        <v/>
      </c>
      <c r="G116" s="4" t="str">
        <f t="shared" si="33"/>
        <v/>
      </c>
      <c r="H116" s="4"/>
      <c r="I116" s="4"/>
      <c r="J116" s="4"/>
      <c r="K116" s="4"/>
      <c r="L116" s="4" t="str">
        <f>IF(A116="","",IF(ISERROR(VLOOKUP(A116,'pagos anticipados'!$A$2:$B$5,2,FALSE)),0,VLOOKUP(A116,'pagos anticipados'!$A$2:B114,2,FALSE)))</f>
        <v/>
      </c>
      <c r="M116" s="4" t="str">
        <f t="shared" si="25"/>
        <v/>
      </c>
      <c r="N116" s="1">
        <f t="shared" si="26"/>
        <v>0</v>
      </c>
      <c r="Q116" s="44" t="str">
        <f t="shared" si="34"/>
        <v/>
      </c>
      <c r="R116" s="44" t="str">
        <f t="shared" si="43"/>
        <v/>
      </c>
      <c r="S116" s="44" t="str">
        <f t="shared" si="35"/>
        <v/>
      </c>
      <c r="U116" s="42" t="str">
        <f t="shared" si="44"/>
        <v/>
      </c>
      <c r="V116" s="41" t="str">
        <f t="shared" si="45"/>
        <v/>
      </c>
      <c r="W116" s="41" t="str">
        <f t="shared" si="27"/>
        <v/>
      </c>
      <c r="Y116" s="35" t="str">
        <f t="shared" si="36"/>
        <v/>
      </c>
      <c r="Z116" s="34" t="str">
        <f t="shared" si="46"/>
        <v/>
      </c>
      <c r="AA116" s="34" t="str">
        <f t="shared" si="28"/>
        <v/>
      </c>
      <c r="AC116" s="36" t="str">
        <f t="shared" si="37"/>
        <v/>
      </c>
      <c r="AE116" s="37">
        <f t="shared" si="38"/>
        <v>0</v>
      </c>
      <c r="AG116" s="56" t="str">
        <f t="shared" si="47"/>
        <v/>
      </c>
      <c r="AH116" s="57" t="str">
        <f t="shared" si="39"/>
        <v/>
      </c>
      <c r="AI116" s="57" t="str">
        <f t="shared" si="48"/>
        <v/>
      </c>
      <c r="AJ116" s="57" t="str">
        <f t="shared" si="40"/>
        <v/>
      </c>
      <c r="AK116" s="57" t="str">
        <f t="shared" si="49"/>
        <v/>
      </c>
    </row>
    <row r="117" spans="1:37">
      <c r="A117" s="2" t="str">
        <f t="shared" si="41"/>
        <v/>
      </c>
      <c r="B117" s="10" t="str">
        <f t="shared" si="29"/>
        <v/>
      </c>
      <c r="C117" s="18" t="str">
        <f t="shared" si="30"/>
        <v/>
      </c>
      <c r="D117" s="4" t="str">
        <f t="shared" si="42"/>
        <v/>
      </c>
      <c r="E117" s="4" t="str">
        <f t="shared" si="31"/>
        <v/>
      </c>
      <c r="F117" s="4" t="str">
        <f t="shared" si="32"/>
        <v/>
      </c>
      <c r="G117" s="4" t="str">
        <f t="shared" si="33"/>
        <v/>
      </c>
      <c r="H117" s="4"/>
      <c r="I117" s="4"/>
      <c r="J117" s="4"/>
      <c r="K117" s="4"/>
      <c r="L117" s="4" t="str">
        <f>IF(A117="","",IF(ISERROR(VLOOKUP(A117,'pagos anticipados'!$A$2:$B$5,2,FALSE)),0,VLOOKUP(A117,'pagos anticipados'!$A$2:B115,2,FALSE)))</f>
        <v/>
      </c>
      <c r="M117" s="4" t="str">
        <f t="shared" si="25"/>
        <v/>
      </c>
      <c r="N117" s="1">
        <f t="shared" si="26"/>
        <v>0</v>
      </c>
      <c r="Q117" s="44" t="str">
        <f t="shared" si="34"/>
        <v/>
      </c>
      <c r="R117" s="44" t="str">
        <f t="shared" si="43"/>
        <v/>
      </c>
      <c r="S117" s="44" t="str">
        <f t="shared" si="35"/>
        <v/>
      </c>
      <c r="U117" s="42" t="str">
        <f t="shared" si="44"/>
        <v/>
      </c>
      <c r="V117" s="41" t="str">
        <f t="shared" si="45"/>
        <v/>
      </c>
      <c r="W117" s="41" t="str">
        <f t="shared" si="27"/>
        <v/>
      </c>
      <c r="Y117" s="35" t="str">
        <f t="shared" si="36"/>
        <v/>
      </c>
      <c r="Z117" s="34" t="str">
        <f t="shared" si="46"/>
        <v/>
      </c>
      <c r="AA117" s="34" t="str">
        <f t="shared" si="28"/>
        <v/>
      </c>
      <c r="AC117" s="36" t="str">
        <f t="shared" si="37"/>
        <v/>
      </c>
      <c r="AE117" s="37">
        <f t="shared" si="38"/>
        <v>0</v>
      </c>
      <c r="AG117" s="56" t="str">
        <f t="shared" si="47"/>
        <v/>
      </c>
      <c r="AH117" s="57" t="str">
        <f t="shared" si="39"/>
        <v/>
      </c>
      <c r="AI117" s="57" t="str">
        <f t="shared" si="48"/>
        <v/>
      </c>
      <c r="AJ117" s="57" t="str">
        <f t="shared" si="40"/>
        <v/>
      </c>
      <c r="AK117" s="57" t="str">
        <f t="shared" si="49"/>
        <v/>
      </c>
    </row>
    <row r="118" spans="1:37">
      <c r="A118" s="2" t="str">
        <f t="shared" si="41"/>
        <v/>
      </c>
      <c r="B118" s="10" t="str">
        <f t="shared" si="29"/>
        <v/>
      </c>
      <c r="C118" s="18" t="str">
        <f t="shared" si="30"/>
        <v/>
      </c>
      <c r="D118" s="4" t="str">
        <f t="shared" si="42"/>
        <v/>
      </c>
      <c r="E118" s="4" t="str">
        <f t="shared" si="31"/>
        <v/>
      </c>
      <c r="F118" s="4" t="str">
        <f t="shared" si="32"/>
        <v/>
      </c>
      <c r="G118" s="4" t="str">
        <f t="shared" si="33"/>
        <v/>
      </c>
      <c r="H118" s="4"/>
      <c r="I118" s="4"/>
      <c r="J118" s="4"/>
      <c r="K118" s="4"/>
      <c r="L118" s="4" t="str">
        <f>IF(A118="","",IF(ISERROR(VLOOKUP(A118,'pagos anticipados'!$A$2:$B$5,2,FALSE)),0,VLOOKUP(A118,'pagos anticipados'!$A$2:B116,2,FALSE)))</f>
        <v/>
      </c>
      <c r="M118" s="4" t="str">
        <f t="shared" si="25"/>
        <v/>
      </c>
      <c r="N118" s="1">
        <f t="shared" si="26"/>
        <v>0</v>
      </c>
      <c r="Q118" s="44" t="str">
        <f t="shared" si="34"/>
        <v/>
      </c>
      <c r="R118" s="44" t="str">
        <f t="shared" si="43"/>
        <v/>
      </c>
      <c r="S118" s="44" t="str">
        <f t="shared" si="35"/>
        <v/>
      </c>
      <c r="U118" s="42" t="str">
        <f t="shared" si="44"/>
        <v/>
      </c>
      <c r="V118" s="41" t="str">
        <f t="shared" si="45"/>
        <v/>
      </c>
      <c r="W118" s="41" t="str">
        <f t="shared" si="27"/>
        <v/>
      </c>
      <c r="Y118" s="35" t="str">
        <f t="shared" si="36"/>
        <v/>
      </c>
      <c r="Z118" s="34" t="str">
        <f t="shared" si="46"/>
        <v/>
      </c>
      <c r="AA118" s="34" t="str">
        <f t="shared" si="28"/>
        <v/>
      </c>
      <c r="AC118" s="36" t="str">
        <f t="shared" si="37"/>
        <v/>
      </c>
      <c r="AE118" s="37">
        <f t="shared" si="38"/>
        <v>0</v>
      </c>
      <c r="AG118" s="56" t="str">
        <f t="shared" si="47"/>
        <v/>
      </c>
      <c r="AH118" s="57" t="str">
        <f t="shared" si="39"/>
        <v/>
      </c>
      <c r="AI118" s="57" t="str">
        <f t="shared" si="48"/>
        <v/>
      </c>
      <c r="AJ118" s="57" t="str">
        <f t="shared" si="40"/>
        <v/>
      </c>
      <c r="AK118" s="57" t="str">
        <f t="shared" si="49"/>
        <v/>
      </c>
    </row>
    <row r="119" spans="1:37">
      <c r="A119" s="2" t="str">
        <f t="shared" si="41"/>
        <v/>
      </c>
      <c r="B119" s="10" t="str">
        <f t="shared" si="29"/>
        <v/>
      </c>
      <c r="C119" s="18" t="str">
        <f t="shared" si="30"/>
        <v/>
      </c>
      <c r="D119" s="4" t="str">
        <f t="shared" si="42"/>
        <v/>
      </c>
      <c r="E119" s="4" t="str">
        <f t="shared" si="31"/>
        <v/>
      </c>
      <c r="F119" s="4" t="str">
        <f t="shared" si="32"/>
        <v/>
      </c>
      <c r="G119" s="4" t="str">
        <f t="shared" si="33"/>
        <v/>
      </c>
      <c r="H119" s="4"/>
      <c r="I119" s="4"/>
      <c r="J119" s="4"/>
      <c r="K119" s="4"/>
      <c r="L119" s="4" t="str">
        <f>IF(A119="","",IF(ISERROR(VLOOKUP(A119,'pagos anticipados'!$A$2:$B$5,2,FALSE)),0,VLOOKUP(A119,'pagos anticipados'!$A$2:B117,2,FALSE)))</f>
        <v/>
      </c>
      <c r="M119" s="4" t="str">
        <f t="shared" si="25"/>
        <v/>
      </c>
      <c r="N119" s="1">
        <f t="shared" si="26"/>
        <v>0</v>
      </c>
      <c r="Q119" s="44" t="str">
        <f t="shared" si="34"/>
        <v/>
      </c>
      <c r="R119" s="44" t="str">
        <f t="shared" si="43"/>
        <v/>
      </c>
      <c r="S119" s="44" t="str">
        <f t="shared" si="35"/>
        <v/>
      </c>
      <c r="U119" s="42" t="str">
        <f t="shared" si="44"/>
        <v/>
      </c>
      <c r="V119" s="41" t="str">
        <f t="shared" si="45"/>
        <v/>
      </c>
      <c r="W119" s="41" t="str">
        <f t="shared" si="27"/>
        <v/>
      </c>
      <c r="Y119" s="35" t="str">
        <f t="shared" si="36"/>
        <v/>
      </c>
      <c r="Z119" s="34" t="str">
        <f t="shared" si="46"/>
        <v/>
      </c>
      <c r="AA119" s="34" t="str">
        <f t="shared" si="28"/>
        <v/>
      </c>
      <c r="AC119" s="36" t="str">
        <f t="shared" si="37"/>
        <v/>
      </c>
      <c r="AE119" s="37">
        <f t="shared" si="38"/>
        <v>0</v>
      </c>
      <c r="AG119" s="56" t="str">
        <f t="shared" si="47"/>
        <v/>
      </c>
      <c r="AH119" s="57" t="str">
        <f t="shared" si="39"/>
        <v/>
      </c>
      <c r="AI119" s="57" t="str">
        <f t="shared" si="48"/>
        <v/>
      </c>
      <c r="AJ119" s="57" t="str">
        <f t="shared" si="40"/>
        <v/>
      </c>
      <c r="AK119" s="57" t="str">
        <f t="shared" si="49"/>
        <v/>
      </c>
    </row>
    <row r="120" spans="1:37">
      <c r="A120" s="2" t="str">
        <f t="shared" si="41"/>
        <v/>
      </c>
      <c r="B120" s="10" t="str">
        <f t="shared" si="29"/>
        <v/>
      </c>
      <c r="C120" s="18" t="str">
        <f t="shared" si="30"/>
        <v/>
      </c>
      <c r="D120" s="4" t="str">
        <f t="shared" si="42"/>
        <v/>
      </c>
      <c r="E120" s="4" t="str">
        <f t="shared" si="31"/>
        <v/>
      </c>
      <c r="F120" s="4" t="str">
        <f t="shared" si="32"/>
        <v/>
      </c>
      <c r="G120" s="4" t="str">
        <f t="shared" si="33"/>
        <v/>
      </c>
      <c r="H120" s="4"/>
      <c r="I120" s="4"/>
      <c r="J120" s="4"/>
      <c r="K120" s="4"/>
      <c r="L120" s="4" t="str">
        <f>IF(A120="","",IF(ISERROR(VLOOKUP(A120,'pagos anticipados'!$A$2:$B$5,2,FALSE)),0,VLOOKUP(A120,'pagos anticipados'!$A$2:B118,2,FALSE)))</f>
        <v/>
      </c>
      <c r="M120" s="4" t="str">
        <f t="shared" si="25"/>
        <v/>
      </c>
      <c r="N120" s="1">
        <f t="shared" si="26"/>
        <v>0</v>
      </c>
      <c r="Q120" s="44" t="str">
        <f t="shared" si="34"/>
        <v/>
      </c>
      <c r="R120" s="44" t="str">
        <f t="shared" si="43"/>
        <v/>
      </c>
      <c r="S120" s="44" t="str">
        <f t="shared" si="35"/>
        <v/>
      </c>
      <c r="U120" s="42" t="str">
        <f t="shared" si="44"/>
        <v/>
      </c>
      <c r="V120" s="41" t="str">
        <f t="shared" si="45"/>
        <v/>
      </c>
      <c r="W120" s="41" t="str">
        <f t="shared" si="27"/>
        <v/>
      </c>
      <c r="Y120" s="35" t="str">
        <f t="shared" si="36"/>
        <v/>
      </c>
      <c r="Z120" s="34" t="str">
        <f t="shared" si="46"/>
        <v/>
      </c>
      <c r="AA120" s="34" t="str">
        <f t="shared" si="28"/>
        <v/>
      </c>
      <c r="AC120" s="36" t="str">
        <f t="shared" si="37"/>
        <v/>
      </c>
      <c r="AE120" s="37">
        <f t="shared" si="38"/>
        <v>0</v>
      </c>
      <c r="AG120" s="56" t="str">
        <f t="shared" si="47"/>
        <v/>
      </c>
      <c r="AH120" s="57" t="str">
        <f t="shared" si="39"/>
        <v/>
      </c>
      <c r="AI120" s="57" t="str">
        <f t="shared" si="48"/>
        <v/>
      </c>
      <c r="AJ120" s="57" t="str">
        <f t="shared" si="40"/>
        <v/>
      </c>
      <c r="AK120" s="57" t="str">
        <f t="shared" si="49"/>
        <v/>
      </c>
    </row>
    <row r="121" spans="1:37">
      <c r="A121" s="2" t="str">
        <f t="shared" si="41"/>
        <v/>
      </c>
      <c r="B121" s="10" t="str">
        <f t="shared" si="29"/>
        <v/>
      </c>
      <c r="C121" s="18" t="str">
        <f t="shared" si="30"/>
        <v/>
      </c>
      <c r="D121" s="4" t="str">
        <f t="shared" si="42"/>
        <v/>
      </c>
      <c r="E121" s="4" t="str">
        <f t="shared" si="31"/>
        <v/>
      </c>
      <c r="F121" s="4" t="str">
        <f t="shared" si="32"/>
        <v/>
      </c>
      <c r="G121" s="4" t="str">
        <f t="shared" si="33"/>
        <v/>
      </c>
      <c r="H121" s="4"/>
      <c r="I121" s="4"/>
      <c r="J121" s="4"/>
      <c r="K121" s="4"/>
      <c r="L121" s="4" t="str">
        <f>IF(A121="","",IF(ISERROR(VLOOKUP(A121,'pagos anticipados'!$A$2:$B$5,2,FALSE)),0,VLOOKUP(A121,'pagos anticipados'!$A$2:B119,2,FALSE)))</f>
        <v/>
      </c>
      <c r="M121" s="4" t="str">
        <f t="shared" si="25"/>
        <v/>
      </c>
      <c r="N121" s="1">
        <f t="shared" si="26"/>
        <v>0</v>
      </c>
      <c r="Q121" s="44" t="str">
        <f t="shared" si="34"/>
        <v/>
      </c>
      <c r="R121" s="44" t="str">
        <f t="shared" si="43"/>
        <v/>
      </c>
      <c r="S121" s="44" t="str">
        <f t="shared" si="35"/>
        <v/>
      </c>
      <c r="U121" s="42" t="str">
        <f t="shared" si="44"/>
        <v/>
      </c>
      <c r="V121" s="41" t="str">
        <f t="shared" si="45"/>
        <v/>
      </c>
      <c r="W121" s="41" t="str">
        <f t="shared" si="27"/>
        <v/>
      </c>
      <c r="Y121" s="35" t="str">
        <f t="shared" si="36"/>
        <v/>
      </c>
      <c r="Z121" s="34" t="str">
        <f t="shared" si="46"/>
        <v/>
      </c>
      <c r="AA121" s="34" t="str">
        <f t="shared" si="28"/>
        <v/>
      </c>
      <c r="AC121" s="36" t="str">
        <f t="shared" si="37"/>
        <v/>
      </c>
      <c r="AE121" s="37">
        <f t="shared" si="38"/>
        <v>0</v>
      </c>
      <c r="AG121" s="56" t="str">
        <f t="shared" si="47"/>
        <v/>
      </c>
      <c r="AH121" s="57" t="str">
        <f t="shared" si="39"/>
        <v/>
      </c>
      <c r="AI121" s="57" t="str">
        <f t="shared" si="48"/>
        <v/>
      </c>
      <c r="AJ121" s="57" t="str">
        <f t="shared" si="40"/>
        <v/>
      </c>
      <c r="AK121" s="57" t="str">
        <f t="shared" si="49"/>
        <v/>
      </c>
    </row>
    <row r="122" spans="1:37">
      <c r="A122" s="2" t="str">
        <f t="shared" si="41"/>
        <v/>
      </c>
      <c r="B122" s="10" t="str">
        <f t="shared" si="29"/>
        <v/>
      </c>
      <c r="C122" s="18" t="str">
        <f t="shared" si="30"/>
        <v/>
      </c>
      <c r="D122" s="4" t="str">
        <f t="shared" si="42"/>
        <v/>
      </c>
      <c r="E122" s="4" t="str">
        <f t="shared" si="31"/>
        <v/>
      </c>
      <c r="F122" s="4" t="str">
        <f t="shared" si="32"/>
        <v/>
      </c>
      <c r="G122" s="4" t="str">
        <f t="shared" si="33"/>
        <v/>
      </c>
      <c r="H122" s="4"/>
      <c r="I122" s="4"/>
      <c r="J122" s="4"/>
      <c r="K122" s="4"/>
      <c r="L122" s="4" t="str">
        <f>IF(A122="","",IF(ISERROR(VLOOKUP(A122,'pagos anticipados'!$A$2:$B$5,2,FALSE)),0,VLOOKUP(A122,'pagos anticipados'!$A$2:B120,2,FALSE)))</f>
        <v/>
      </c>
      <c r="M122" s="4" t="str">
        <f t="shared" si="25"/>
        <v/>
      </c>
      <c r="N122" s="1">
        <f t="shared" si="26"/>
        <v>0</v>
      </c>
      <c r="Q122" s="44" t="str">
        <f t="shared" si="34"/>
        <v/>
      </c>
      <c r="R122" s="44" t="str">
        <f t="shared" si="43"/>
        <v/>
      </c>
      <c r="S122" s="44" t="str">
        <f t="shared" si="35"/>
        <v/>
      </c>
      <c r="U122" s="42" t="str">
        <f t="shared" si="44"/>
        <v/>
      </c>
      <c r="V122" s="41" t="str">
        <f t="shared" si="45"/>
        <v/>
      </c>
      <c r="W122" s="41" t="str">
        <f t="shared" si="27"/>
        <v/>
      </c>
      <c r="Y122" s="35" t="str">
        <f t="shared" si="36"/>
        <v/>
      </c>
      <c r="Z122" s="34" t="str">
        <f t="shared" si="46"/>
        <v/>
      </c>
      <c r="AA122" s="34" t="str">
        <f t="shared" si="28"/>
        <v/>
      </c>
      <c r="AC122" s="36" t="str">
        <f t="shared" si="37"/>
        <v/>
      </c>
      <c r="AE122" s="37">
        <f t="shared" si="38"/>
        <v>0</v>
      </c>
      <c r="AG122" s="56" t="str">
        <f t="shared" si="47"/>
        <v/>
      </c>
      <c r="AH122" s="57" t="str">
        <f t="shared" si="39"/>
        <v/>
      </c>
      <c r="AI122" s="57" t="str">
        <f t="shared" si="48"/>
        <v/>
      </c>
      <c r="AJ122" s="57" t="str">
        <f t="shared" si="40"/>
        <v/>
      </c>
      <c r="AK122" s="57" t="str">
        <f t="shared" si="49"/>
        <v/>
      </c>
    </row>
    <row r="123" spans="1:37">
      <c r="A123" s="2" t="str">
        <f t="shared" si="41"/>
        <v/>
      </c>
      <c r="B123" s="10" t="str">
        <f t="shared" si="29"/>
        <v/>
      </c>
      <c r="C123" s="18" t="str">
        <f t="shared" si="30"/>
        <v/>
      </c>
      <c r="D123" s="4" t="str">
        <f t="shared" si="42"/>
        <v/>
      </c>
      <c r="E123" s="4" t="str">
        <f t="shared" si="31"/>
        <v/>
      </c>
      <c r="F123" s="4" t="str">
        <f t="shared" si="32"/>
        <v/>
      </c>
      <c r="G123" s="4" t="str">
        <f t="shared" si="33"/>
        <v/>
      </c>
      <c r="H123" s="4"/>
      <c r="I123" s="4"/>
      <c r="J123" s="4"/>
      <c r="K123" s="4"/>
      <c r="L123" s="4" t="str">
        <f>IF(A123="","",IF(ISERROR(VLOOKUP(A123,'pagos anticipados'!$A$2:$B$5,2,FALSE)),0,VLOOKUP(A123,'pagos anticipados'!$A$2:B121,2,FALSE)))</f>
        <v/>
      </c>
      <c r="M123" s="4" t="str">
        <f t="shared" si="25"/>
        <v/>
      </c>
      <c r="N123" s="1">
        <f t="shared" si="26"/>
        <v>0</v>
      </c>
      <c r="Q123" s="44" t="str">
        <f t="shared" si="34"/>
        <v/>
      </c>
      <c r="R123" s="44" t="str">
        <f t="shared" si="43"/>
        <v/>
      </c>
      <c r="S123" s="44" t="str">
        <f t="shared" si="35"/>
        <v/>
      </c>
      <c r="U123" s="42" t="str">
        <f t="shared" si="44"/>
        <v/>
      </c>
      <c r="V123" s="41" t="str">
        <f t="shared" si="45"/>
        <v/>
      </c>
      <c r="W123" s="41" t="str">
        <f t="shared" si="27"/>
        <v/>
      </c>
      <c r="Y123" s="35" t="str">
        <f t="shared" si="36"/>
        <v/>
      </c>
      <c r="Z123" s="34" t="str">
        <f t="shared" si="46"/>
        <v/>
      </c>
      <c r="AA123" s="34" t="str">
        <f t="shared" si="28"/>
        <v/>
      </c>
      <c r="AC123" s="36" t="str">
        <f t="shared" si="37"/>
        <v/>
      </c>
      <c r="AE123" s="37">
        <f t="shared" si="38"/>
        <v>0</v>
      </c>
      <c r="AG123" s="56" t="str">
        <f t="shared" si="47"/>
        <v/>
      </c>
      <c r="AH123" s="57" t="str">
        <f t="shared" si="39"/>
        <v/>
      </c>
      <c r="AI123" s="57" t="str">
        <f t="shared" si="48"/>
        <v/>
      </c>
      <c r="AJ123" s="57" t="str">
        <f t="shared" si="40"/>
        <v/>
      </c>
      <c r="AK123" s="57" t="str">
        <f t="shared" si="49"/>
        <v/>
      </c>
    </row>
    <row r="124" spans="1:37">
      <c r="A124" s="2" t="str">
        <f t="shared" si="41"/>
        <v/>
      </c>
      <c r="B124" s="10" t="str">
        <f t="shared" si="29"/>
        <v/>
      </c>
      <c r="C124" s="18" t="str">
        <f t="shared" si="30"/>
        <v/>
      </c>
      <c r="D124" s="4" t="str">
        <f t="shared" si="42"/>
        <v/>
      </c>
      <c r="E124" s="4" t="str">
        <f t="shared" si="31"/>
        <v/>
      </c>
      <c r="F124" s="4" t="str">
        <f t="shared" si="32"/>
        <v/>
      </c>
      <c r="G124" s="4" t="str">
        <f t="shared" si="33"/>
        <v/>
      </c>
      <c r="H124" s="4"/>
      <c r="I124" s="4"/>
      <c r="J124" s="4"/>
      <c r="K124" s="4"/>
      <c r="L124" s="4" t="str">
        <f>IF(A124="","",IF(ISERROR(VLOOKUP(A124,'pagos anticipados'!$A$2:$B$5,2,FALSE)),0,VLOOKUP(A124,'pagos anticipados'!$A$2:B122,2,FALSE)))</f>
        <v/>
      </c>
      <c r="M124" s="4" t="str">
        <f t="shared" si="25"/>
        <v/>
      </c>
      <c r="N124" s="1">
        <f t="shared" si="26"/>
        <v>0</v>
      </c>
      <c r="Q124" s="44" t="str">
        <f t="shared" si="34"/>
        <v/>
      </c>
      <c r="R124" s="44" t="str">
        <f t="shared" si="43"/>
        <v/>
      </c>
      <c r="S124" s="44" t="str">
        <f t="shared" si="35"/>
        <v/>
      </c>
      <c r="U124" s="42" t="str">
        <f t="shared" si="44"/>
        <v/>
      </c>
      <c r="V124" s="41" t="str">
        <f t="shared" si="45"/>
        <v/>
      </c>
      <c r="W124" s="41" t="str">
        <f t="shared" si="27"/>
        <v/>
      </c>
      <c r="Y124" s="35" t="str">
        <f t="shared" si="36"/>
        <v/>
      </c>
      <c r="Z124" s="34" t="str">
        <f t="shared" si="46"/>
        <v/>
      </c>
      <c r="AA124" s="34" t="str">
        <f t="shared" si="28"/>
        <v/>
      </c>
      <c r="AC124" s="36" t="str">
        <f t="shared" si="37"/>
        <v/>
      </c>
      <c r="AE124" s="37">
        <f t="shared" si="38"/>
        <v>0</v>
      </c>
      <c r="AG124" s="56" t="str">
        <f t="shared" si="47"/>
        <v/>
      </c>
      <c r="AH124" s="57" t="str">
        <f t="shared" si="39"/>
        <v/>
      </c>
      <c r="AI124" s="57" t="str">
        <f t="shared" si="48"/>
        <v/>
      </c>
      <c r="AJ124" s="57" t="str">
        <f t="shared" si="40"/>
        <v/>
      </c>
      <c r="AK124" s="57" t="str">
        <f t="shared" si="49"/>
        <v/>
      </c>
    </row>
    <row r="125" spans="1:37">
      <c r="A125" s="2" t="str">
        <f t="shared" si="41"/>
        <v/>
      </c>
      <c r="B125" s="10" t="str">
        <f t="shared" si="29"/>
        <v/>
      </c>
      <c r="C125" s="18" t="str">
        <f t="shared" si="30"/>
        <v/>
      </c>
      <c r="D125" s="4" t="str">
        <f t="shared" si="42"/>
        <v/>
      </c>
      <c r="E125" s="4" t="str">
        <f t="shared" si="31"/>
        <v/>
      </c>
      <c r="F125" s="4" t="str">
        <f t="shared" si="32"/>
        <v/>
      </c>
      <c r="G125" s="4" t="str">
        <f t="shared" si="33"/>
        <v/>
      </c>
      <c r="H125" s="4"/>
      <c r="I125" s="4"/>
      <c r="J125" s="4"/>
      <c r="K125" s="4"/>
      <c r="L125" s="4" t="str">
        <f>IF(A125="","",IF(ISERROR(VLOOKUP(A125,'pagos anticipados'!$A$2:$B$5,2,FALSE)),0,VLOOKUP(A125,'pagos anticipados'!$A$2:B123,2,FALSE)))</f>
        <v/>
      </c>
      <c r="M125" s="4" t="str">
        <f t="shared" si="25"/>
        <v/>
      </c>
      <c r="N125" s="1">
        <f t="shared" si="26"/>
        <v>0</v>
      </c>
      <c r="Q125" s="44" t="str">
        <f t="shared" si="34"/>
        <v/>
      </c>
      <c r="R125" s="44" t="str">
        <f t="shared" si="43"/>
        <v/>
      </c>
      <c r="S125" s="44" t="str">
        <f t="shared" si="35"/>
        <v/>
      </c>
      <c r="U125" s="42" t="str">
        <f t="shared" si="44"/>
        <v/>
      </c>
      <c r="V125" s="41" t="str">
        <f t="shared" si="45"/>
        <v/>
      </c>
      <c r="W125" s="41" t="str">
        <f t="shared" si="27"/>
        <v/>
      </c>
      <c r="Y125" s="35" t="str">
        <f t="shared" si="36"/>
        <v/>
      </c>
      <c r="Z125" s="34" t="str">
        <f t="shared" si="46"/>
        <v/>
      </c>
      <c r="AA125" s="34" t="str">
        <f t="shared" si="28"/>
        <v/>
      </c>
      <c r="AC125" s="36" t="str">
        <f t="shared" si="37"/>
        <v/>
      </c>
      <c r="AE125" s="37">
        <f t="shared" si="38"/>
        <v>0</v>
      </c>
      <c r="AG125" s="56" t="str">
        <f t="shared" si="47"/>
        <v/>
      </c>
      <c r="AH125" s="57" t="str">
        <f t="shared" si="39"/>
        <v/>
      </c>
      <c r="AI125" s="57" t="str">
        <f t="shared" si="48"/>
        <v/>
      </c>
      <c r="AJ125" s="57" t="str">
        <f t="shared" si="40"/>
        <v/>
      </c>
      <c r="AK125" s="57" t="str">
        <f t="shared" si="49"/>
        <v/>
      </c>
    </row>
    <row r="126" spans="1:37">
      <c r="A126" s="2" t="str">
        <f t="shared" si="41"/>
        <v/>
      </c>
      <c r="B126" s="10" t="str">
        <f t="shared" si="29"/>
        <v/>
      </c>
      <c r="C126" s="18" t="str">
        <f t="shared" si="30"/>
        <v/>
      </c>
      <c r="D126" s="4" t="str">
        <f t="shared" si="42"/>
        <v/>
      </c>
      <c r="E126" s="4" t="str">
        <f t="shared" si="31"/>
        <v/>
      </c>
      <c r="F126" s="4" t="str">
        <f t="shared" si="32"/>
        <v/>
      </c>
      <c r="G126" s="4" t="str">
        <f t="shared" si="33"/>
        <v/>
      </c>
      <c r="H126" s="4"/>
      <c r="I126" s="4"/>
      <c r="J126" s="4"/>
      <c r="K126" s="4"/>
      <c r="L126" s="4" t="str">
        <f>IF(A126="","",IF(ISERROR(VLOOKUP(A126,'pagos anticipados'!$A$2:$B$5,2,FALSE)),0,VLOOKUP(A126,'pagos anticipados'!$A$2:B124,2,FALSE)))</f>
        <v/>
      </c>
      <c r="M126" s="4" t="str">
        <f t="shared" si="25"/>
        <v/>
      </c>
      <c r="N126" s="1">
        <f t="shared" si="26"/>
        <v>0</v>
      </c>
      <c r="Q126" s="44" t="str">
        <f t="shared" si="34"/>
        <v/>
      </c>
      <c r="R126" s="44" t="str">
        <f t="shared" si="43"/>
        <v/>
      </c>
      <c r="S126" s="44" t="str">
        <f t="shared" si="35"/>
        <v/>
      </c>
      <c r="U126" s="42" t="str">
        <f t="shared" si="44"/>
        <v/>
      </c>
      <c r="V126" s="41" t="str">
        <f t="shared" si="45"/>
        <v/>
      </c>
      <c r="W126" s="41" t="str">
        <f t="shared" si="27"/>
        <v/>
      </c>
      <c r="Y126" s="35" t="str">
        <f t="shared" si="36"/>
        <v/>
      </c>
      <c r="Z126" s="34" t="str">
        <f t="shared" si="46"/>
        <v/>
      </c>
      <c r="AA126" s="34" t="str">
        <f t="shared" si="28"/>
        <v/>
      </c>
      <c r="AC126" s="36" t="str">
        <f t="shared" si="37"/>
        <v/>
      </c>
      <c r="AE126" s="37">
        <f t="shared" si="38"/>
        <v>0</v>
      </c>
      <c r="AG126" s="56" t="str">
        <f t="shared" si="47"/>
        <v/>
      </c>
      <c r="AH126" s="57" t="str">
        <f t="shared" si="39"/>
        <v/>
      </c>
      <c r="AI126" s="57" t="str">
        <f t="shared" si="48"/>
        <v/>
      </c>
      <c r="AJ126" s="57" t="str">
        <f t="shared" si="40"/>
        <v/>
      </c>
      <c r="AK126" s="57" t="str">
        <f t="shared" si="49"/>
        <v/>
      </c>
    </row>
    <row r="127" spans="1:37">
      <c r="A127" s="2" t="str">
        <f t="shared" si="41"/>
        <v/>
      </c>
      <c r="B127" s="10" t="str">
        <f t="shared" si="29"/>
        <v/>
      </c>
      <c r="C127" s="18" t="str">
        <f t="shared" si="30"/>
        <v/>
      </c>
      <c r="D127" s="4" t="str">
        <f t="shared" si="42"/>
        <v/>
      </c>
      <c r="E127" s="4" t="str">
        <f t="shared" si="31"/>
        <v/>
      </c>
      <c r="F127" s="4" t="str">
        <f t="shared" si="32"/>
        <v/>
      </c>
      <c r="G127" s="4" t="str">
        <f t="shared" si="33"/>
        <v/>
      </c>
      <c r="H127" s="4"/>
      <c r="I127" s="4"/>
      <c r="J127" s="4"/>
      <c r="K127" s="4"/>
      <c r="L127" s="4" t="str">
        <f>IF(A127="","",IF(ISERROR(VLOOKUP(A127,'pagos anticipados'!$A$2:$B$5,2,FALSE)),0,VLOOKUP(A127,'pagos anticipados'!$A$2:B125,2,FALSE)))</f>
        <v/>
      </c>
      <c r="M127" s="4" t="str">
        <f t="shared" si="25"/>
        <v/>
      </c>
      <c r="N127" s="1">
        <f t="shared" si="26"/>
        <v>0</v>
      </c>
      <c r="Q127" s="44" t="str">
        <f t="shared" si="34"/>
        <v/>
      </c>
      <c r="R127" s="44" t="str">
        <f t="shared" si="43"/>
        <v/>
      </c>
      <c r="S127" s="44" t="str">
        <f t="shared" si="35"/>
        <v/>
      </c>
      <c r="U127" s="42" t="str">
        <f t="shared" si="44"/>
        <v/>
      </c>
      <c r="V127" s="41" t="str">
        <f t="shared" si="45"/>
        <v/>
      </c>
      <c r="W127" s="41" t="str">
        <f t="shared" si="27"/>
        <v/>
      </c>
      <c r="Y127" s="35" t="str">
        <f t="shared" si="36"/>
        <v/>
      </c>
      <c r="Z127" s="34" t="str">
        <f t="shared" si="46"/>
        <v/>
      </c>
      <c r="AA127" s="34" t="str">
        <f t="shared" si="28"/>
        <v/>
      </c>
      <c r="AC127" s="36" t="str">
        <f t="shared" si="37"/>
        <v/>
      </c>
      <c r="AE127" s="37">
        <f t="shared" si="38"/>
        <v>0</v>
      </c>
      <c r="AG127" s="56" t="str">
        <f t="shared" si="47"/>
        <v/>
      </c>
      <c r="AH127" s="57" t="str">
        <f t="shared" si="39"/>
        <v/>
      </c>
      <c r="AI127" s="57" t="str">
        <f t="shared" si="48"/>
        <v/>
      </c>
      <c r="AJ127" s="57" t="str">
        <f t="shared" si="40"/>
        <v/>
      </c>
      <c r="AK127" s="57" t="str">
        <f t="shared" si="49"/>
        <v/>
      </c>
    </row>
    <row r="128" spans="1:37">
      <c r="A128" s="2" t="str">
        <f t="shared" si="41"/>
        <v/>
      </c>
      <c r="B128" s="10" t="str">
        <f t="shared" si="29"/>
        <v/>
      </c>
      <c r="C128" s="18" t="str">
        <f t="shared" si="30"/>
        <v/>
      </c>
      <c r="D128" s="4" t="str">
        <f t="shared" si="42"/>
        <v/>
      </c>
      <c r="E128" s="4" t="str">
        <f t="shared" si="31"/>
        <v/>
      </c>
      <c r="F128" s="4" t="str">
        <f t="shared" si="32"/>
        <v/>
      </c>
      <c r="G128" s="4" t="str">
        <f t="shared" si="33"/>
        <v/>
      </c>
      <c r="H128" s="4"/>
      <c r="I128" s="4"/>
      <c r="J128" s="4"/>
      <c r="K128" s="4"/>
      <c r="L128" s="4" t="str">
        <f>IF(A128="","",IF(ISERROR(VLOOKUP(A128,'pagos anticipados'!$A$2:$B$5,2,FALSE)),0,VLOOKUP(A128,'pagos anticipados'!$A$2:B126,2,FALSE)))</f>
        <v/>
      </c>
      <c r="M128" s="4" t="str">
        <f t="shared" si="25"/>
        <v/>
      </c>
      <c r="N128" s="1">
        <f t="shared" si="26"/>
        <v>0</v>
      </c>
      <c r="Q128" s="44" t="str">
        <f t="shared" si="34"/>
        <v/>
      </c>
      <c r="R128" s="44" t="str">
        <f t="shared" si="43"/>
        <v/>
      </c>
      <c r="S128" s="44" t="str">
        <f t="shared" si="35"/>
        <v/>
      </c>
      <c r="U128" s="42" t="str">
        <f t="shared" si="44"/>
        <v/>
      </c>
      <c r="V128" s="41" t="str">
        <f t="shared" si="45"/>
        <v/>
      </c>
      <c r="W128" s="41" t="str">
        <f t="shared" si="27"/>
        <v/>
      </c>
      <c r="Y128" s="35" t="str">
        <f t="shared" si="36"/>
        <v/>
      </c>
      <c r="Z128" s="34" t="str">
        <f t="shared" si="46"/>
        <v/>
      </c>
      <c r="AA128" s="34" t="str">
        <f t="shared" si="28"/>
        <v/>
      </c>
      <c r="AC128" s="36" t="str">
        <f t="shared" si="37"/>
        <v/>
      </c>
      <c r="AE128" s="37">
        <f t="shared" si="38"/>
        <v>0</v>
      </c>
      <c r="AG128" s="56" t="str">
        <f t="shared" si="47"/>
        <v/>
      </c>
      <c r="AH128" s="57" t="str">
        <f t="shared" si="39"/>
        <v/>
      </c>
      <c r="AI128" s="57" t="str">
        <f t="shared" si="48"/>
        <v/>
      </c>
      <c r="AJ128" s="57" t="str">
        <f t="shared" si="40"/>
        <v/>
      </c>
      <c r="AK128" s="57" t="str">
        <f t="shared" si="49"/>
        <v/>
      </c>
    </row>
    <row r="129" spans="1:37">
      <c r="A129" s="2" t="str">
        <f t="shared" si="41"/>
        <v/>
      </c>
      <c r="B129" s="10" t="str">
        <f t="shared" si="29"/>
        <v/>
      </c>
      <c r="C129" s="18" t="str">
        <f t="shared" si="30"/>
        <v/>
      </c>
      <c r="D129" s="4" t="str">
        <f t="shared" si="42"/>
        <v/>
      </c>
      <c r="E129" s="4" t="str">
        <f t="shared" si="31"/>
        <v/>
      </c>
      <c r="F129" s="4" t="str">
        <f t="shared" si="32"/>
        <v/>
      </c>
      <c r="G129" s="4" t="str">
        <f t="shared" si="33"/>
        <v/>
      </c>
      <c r="H129" s="4"/>
      <c r="I129" s="4"/>
      <c r="J129" s="4"/>
      <c r="K129" s="4"/>
      <c r="L129" s="4" t="str">
        <f>IF(A129="","",IF(ISERROR(VLOOKUP(A129,'pagos anticipados'!$A$2:$B$5,2,FALSE)),0,VLOOKUP(A129,'pagos anticipados'!$A$2:B127,2,FALSE)))</f>
        <v/>
      </c>
      <c r="M129" s="4" t="str">
        <f t="shared" si="25"/>
        <v/>
      </c>
      <c r="N129" s="1">
        <f t="shared" si="26"/>
        <v>0</v>
      </c>
      <c r="Q129" s="44" t="str">
        <f t="shared" si="34"/>
        <v/>
      </c>
      <c r="R129" s="44" t="str">
        <f t="shared" si="43"/>
        <v/>
      </c>
      <c r="S129" s="44" t="str">
        <f t="shared" si="35"/>
        <v/>
      </c>
      <c r="U129" s="42" t="str">
        <f t="shared" si="44"/>
        <v/>
      </c>
      <c r="V129" s="41" t="str">
        <f t="shared" si="45"/>
        <v/>
      </c>
      <c r="W129" s="41" t="str">
        <f t="shared" si="27"/>
        <v/>
      </c>
      <c r="Y129" s="35" t="str">
        <f t="shared" si="36"/>
        <v/>
      </c>
      <c r="Z129" s="34" t="str">
        <f t="shared" si="46"/>
        <v/>
      </c>
      <c r="AA129" s="34" t="str">
        <f t="shared" si="28"/>
        <v/>
      </c>
      <c r="AC129" s="36" t="str">
        <f t="shared" si="37"/>
        <v/>
      </c>
      <c r="AE129" s="37">
        <f t="shared" si="38"/>
        <v>0</v>
      </c>
      <c r="AG129" s="56" t="str">
        <f t="shared" si="47"/>
        <v/>
      </c>
      <c r="AH129" s="57" t="str">
        <f t="shared" si="39"/>
        <v/>
      </c>
      <c r="AI129" s="57" t="str">
        <f t="shared" si="48"/>
        <v/>
      </c>
      <c r="AJ129" s="57" t="str">
        <f t="shared" si="40"/>
        <v/>
      </c>
      <c r="AK129" s="57" t="str">
        <f t="shared" si="49"/>
        <v/>
      </c>
    </row>
    <row r="130" spans="1:37">
      <c r="A130" s="2" t="str">
        <f t="shared" si="41"/>
        <v/>
      </c>
      <c r="B130" s="10" t="str">
        <f t="shared" si="29"/>
        <v/>
      </c>
      <c r="C130" s="18" t="str">
        <f t="shared" si="30"/>
        <v/>
      </c>
      <c r="D130" s="4" t="str">
        <f t="shared" si="42"/>
        <v/>
      </c>
      <c r="E130" s="4" t="str">
        <f t="shared" si="31"/>
        <v/>
      </c>
      <c r="F130" s="4" t="str">
        <f t="shared" si="32"/>
        <v/>
      </c>
      <c r="G130" s="4" t="str">
        <f t="shared" si="33"/>
        <v/>
      </c>
      <c r="H130" s="4"/>
      <c r="I130" s="4"/>
      <c r="J130" s="4"/>
      <c r="K130" s="4"/>
      <c r="L130" s="4" t="str">
        <f>IF(A130="","",IF(ISERROR(VLOOKUP(A130,'pagos anticipados'!$A$2:$B$5,2,FALSE)),0,VLOOKUP(A130,'pagos anticipados'!$A$2:B128,2,FALSE)))</f>
        <v/>
      </c>
      <c r="M130" s="4" t="str">
        <f t="shared" si="25"/>
        <v/>
      </c>
      <c r="N130" s="1">
        <f t="shared" si="26"/>
        <v>0</v>
      </c>
      <c r="Q130" s="44" t="str">
        <f t="shared" si="34"/>
        <v/>
      </c>
      <c r="R130" s="44" t="str">
        <f t="shared" si="43"/>
        <v/>
      </c>
      <c r="S130" s="44" t="str">
        <f t="shared" si="35"/>
        <v/>
      </c>
      <c r="U130" s="42" t="str">
        <f t="shared" si="44"/>
        <v/>
      </c>
      <c r="V130" s="41" t="str">
        <f t="shared" si="45"/>
        <v/>
      </c>
      <c r="W130" s="41" t="str">
        <f t="shared" si="27"/>
        <v/>
      </c>
      <c r="Y130" s="35" t="str">
        <f t="shared" si="36"/>
        <v/>
      </c>
      <c r="Z130" s="34" t="str">
        <f t="shared" si="46"/>
        <v/>
      </c>
      <c r="AA130" s="34" t="str">
        <f t="shared" si="28"/>
        <v/>
      </c>
      <c r="AC130" s="36" t="str">
        <f t="shared" si="37"/>
        <v/>
      </c>
      <c r="AE130" s="37">
        <f t="shared" si="38"/>
        <v>0</v>
      </c>
      <c r="AG130" s="56" t="str">
        <f t="shared" si="47"/>
        <v/>
      </c>
      <c r="AH130" s="57" t="str">
        <f t="shared" si="39"/>
        <v/>
      </c>
      <c r="AI130" s="57" t="str">
        <f t="shared" si="48"/>
        <v/>
      </c>
      <c r="AJ130" s="57" t="str">
        <f t="shared" si="40"/>
        <v/>
      </c>
      <c r="AK130" s="57" t="str">
        <f t="shared" si="49"/>
        <v/>
      </c>
    </row>
    <row r="131" spans="1:37">
      <c r="A131" s="2" t="str">
        <f t="shared" si="41"/>
        <v/>
      </c>
      <c r="B131" s="10" t="str">
        <f t="shared" si="29"/>
        <v/>
      </c>
      <c r="C131" s="18" t="str">
        <f t="shared" si="30"/>
        <v/>
      </c>
      <c r="D131" s="4" t="str">
        <f t="shared" si="42"/>
        <v/>
      </c>
      <c r="E131" s="4" t="str">
        <f t="shared" si="31"/>
        <v/>
      </c>
      <c r="F131" s="4" t="str">
        <f t="shared" si="32"/>
        <v/>
      </c>
      <c r="G131" s="4" t="str">
        <f t="shared" si="33"/>
        <v/>
      </c>
      <c r="H131" s="4"/>
      <c r="I131" s="4"/>
      <c r="J131" s="4"/>
      <c r="K131" s="4"/>
      <c r="L131" s="4" t="str">
        <f>IF(A131="","",IF(ISERROR(VLOOKUP(A131,'pagos anticipados'!$A$2:$B$5,2,FALSE)),0,VLOOKUP(A131,'pagos anticipados'!$A$2:B129,2,FALSE)))</f>
        <v/>
      </c>
      <c r="M131" s="4" t="str">
        <f t="shared" si="25"/>
        <v/>
      </c>
      <c r="N131" s="1">
        <f t="shared" si="26"/>
        <v>0</v>
      </c>
      <c r="Q131" s="44" t="str">
        <f t="shared" si="34"/>
        <v/>
      </c>
      <c r="R131" s="44" t="str">
        <f t="shared" si="43"/>
        <v/>
      </c>
      <c r="S131" s="44" t="str">
        <f t="shared" si="35"/>
        <v/>
      </c>
      <c r="U131" s="42" t="str">
        <f t="shared" si="44"/>
        <v/>
      </c>
      <c r="V131" s="41" t="str">
        <f t="shared" si="45"/>
        <v/>
      </c>
      <c r="W131" s="41" t="str">
        <f t="shared" si="27"/>
        <v/>
      </c>
      <c r="Y131" s="35" t="str">
        <f t="shared" si="36"/>
        <v/>
      </c>
      <c r="Z131" s="34" t="str">
        <f t="shared" si="46"/>
        <v/>
      </c>
      <c r="AA131" s="34" t="str">
        <f t="shared" si="28"/>
        <v/>
      </c>
      <c r="AC131" s="36" t="str">
        <f t="shared" si="37"/>
        <v/>
      </c>
      <c r="AE131" s="37">
        <f t="shared" si="38"/>
        <v>0</v>
      </c>
      <c r="AG131" s="56" t="str">
        <f t="shared" si="47"/>
        <v/>
      </c>
      <c r="AH131" s="57" t="str">
        <f t="shared" si="39"/>
        <v/>
      </c>
      <c r="AI131" s="57" t="str">
        <f t="shared" si="48"/>
        <v/>
      </c>
      <c r="AJ131" s="57" t="str">
        <f t="shared" si="40"/>
        <v/>
      </c>
      <c r="AK131" s="57" t="str">
        <f t="shared" si="49"/>
        <v/>
      </c>
    </row>
    <row r="132" spans="1:37">
      <c r="A132" s="2" t="str">
        <f t="shared" si="41"/>
        <v/>
      </c>
      <c r="B132" s="10" t="str">
        <f t="shared" si="29"/>
        <v/>
      </c>
      <c r="C132" s="18" t="str">
        <f t="shared" si="30"/>
        <v/>
      </c>
      <c r="D132" s="4" t="str">
        <f t="shared" si="42"/>
        <v/>
      </c>
      <c r="E132" s="4" t="str">
        <f t="shared" si="31"/>
        <v/>
      </c>
      <c r="F132" s="4" t="str">
        <f t="shared" si="32"/>
        <v/>
      </c>
      <c r="G132" s="4" t="str">
        <f t="shared" si="33"/>
        <v/>
      </c>
      <c r="H132" s="4"/>
      <c r="I132" s="4"/>
      <c r="J132" s="4"/>
      <c r="K132" s="4"/>
      <c r="L132" s="4" t="str">
        <f>IF(A132="","",IF(ISERROR(VLOOKUP(A132,'pagos anticipados'!$A$2:$B$5,2,FALSE)),0,VLOOKUP(A132,'pagos anticipados'!$A$2:B130,2,FALSE)))</f>
        <v/>
      </c>
      <c r="M132" s="4" t="str">
        <f t="shared" si="25"/>
        <v/>
      </c>
      <c r="N132" s="1">
        <f t="shared" si="26"/>
        <v>0</v>
      </c>
      <c r="Q132" s="44" t="str">
        <f t="shared" si="34"/>
        <v/>
      </c>
      <c r="R132" s="44" t="str">
        <f t="shared" si="43"/>
        <v/>
      </c>
      <c r="S132" s="44" t="str">
        <f t="shared" si="35"/>
        <v/>
      </c>
      <c r="U132" s="42" t="str">
        <f t="shared" si="44"/>
        <v/>
      </c>
      <c r="V132" s="41" t="str">
        <f t="shared" si="45"/>
        <v/>
      </c>
      <c r="W132" s="41" t="str">
        <f t="shared" si="27"/>
        <v/>
      </c>
      <c r="Y132" s="35" t="str">
        <f t="shared" si="36"/>
        <v/>
      </c>
      <c r="Z132" s="34" t="str">
        <f t="shared" si="46"/>
        <v/>
      </c>
      <c r="AA132" s="34" t="str">
        <f t="shared" si="28"/>
        <v/>
      </c>
      <c r="AC132" s="36" t="str">
        <f t="shared" si="37"/>
        <v/>
      </c>
      <c r="AE132" s="37">
        <f t="shared" si="38"/>
        <v>0</v>
      </c>
      <c r="AG132" s="56" t="str">
        <f t="shared" si="47"/>
        <v/>
      </c>
      <c r="AH132" s="57" t="str">
        <f t="shared" si="39"/>
        <v/>
      </c>
      <c r="AI132" s="57" t="str">
        <f t="shared" si="48"/>
        <v/>
      </c>
      <c r="AJ132" s="57" t="str">
        <f t="shared" si="40"/>
        <v/>
      </c>
      <c r="AK132" s="57" t="str">
        <f t="shared" si="49"/>
        <v/>
      </c>
    </row>
    <row r="133" spans="1:37">
      <c r="A133" s="2" t="str">
        <f t="shared" si="41"/>
        <v/>
      </c>
      <c r="B133" s="10" t="str">
        <f t="shared" si="29"/>
        <v/>
      </c>
      <c r="C133" s="18" t="str">
        <f t="shared" si="30"/>
        <v/>
      </c>
      <c r="D133" s="4" t="str">
        <f t="shared" si="42"/>
        <v/>
      </c>
      <c r="E133" s="4" t="str">
        <f t="shared" si="31"/>
        <v/>
      </c>
      <c r="F133" s="4" t="str">
        <f t="shared" si="32"/>
        <v/>
      </c>
      <c r="G133" s="4" t="str">
        <f t="shared" si="33"/>
        <v/>
      </c>
      <c r="H133" s="4"/>
      <c r="I133" s="4"/>
      <c r="J133" s="4"/>
      <c r="K133" s="4"/>
      <c r="L133" s="4" t="str">
        <f>IF(A133="","",IF(ISERROR(VLOOKUP(A133,'pagos anticipados'!$A$2:$B$5,2,FALSE)),0,VLOOKUP(A133,'pagos anticipados'!$A$2:B131,2,FALSE)))</f>
        <v/>
      </c>
      <c r="M133" s="4" t="str">
        <f t="shared" si="25"/>
        <v/>
      </c>
      <c r="N133" s="1">
        <f t="shared" si="26"/>
        <v>0</v>
      </c>
      <c r="Q133" s="44" t="str">
        <f t="shared" si="34"/>
        <v/>
      </c>
      <c r="R133" s="44" t="str">
        <f t="shared" si="43"/>
        <v/>
      </c>
      <c r="S133" s="44" t="str">
        <f t="shared" si="35"/>
        <v/>
      </c>
      <c r="U133" s="42" t="str">
        <f t="shared" si="44"/>
        <v/>
      </c>
      <c r="V133" s="41" t="str">
        <f t="shared" si="45"/>
        <v/>
      </c>
      <c r="W133" s="41" t="str">
        <f t="shared" si="27"/>
        <v/>
      </c>
      <c r="Y133" s="35" t="str">
        <f t="shared" si="36"/>
        <v/>
      </c>
      <c r="Z133" s="34" t="str">
        <f t="shared" si="46"/>
        <v/>
      </c>
      <c r="AA133" s="34" t="str">
        <f t="shared" si="28"/>
        <v/>
      </c>
      <c r="AC133" s="36" t="str">
        <f t="shared" si="37"/>
        <v/>
      </c>
      <c r="AE133" s="37">
        <f t="shared" si="38"/>
        <v>0</v>
      </c>
      <c r="AG133" s="56" t="str">
        <f t="shared" si="47"/>
        <v/>
      </c>
      <c r="AH133" s="57" t="str">
        <f t="shared" si="39"/>
        <v/>
      </c>
      <c r="AI133" s="57" t="str">
        <f t="shared" si="48"/>
        <v/>
      </c>
      <c r="AJ133" s="57" t="str">
        <f t="shared" si="40"/>
        <v/>
      </c>
      <c r="AK133" s="57" t="str">
        <f t="shared" si="49"/>
        <v/>
      </c>
    </row>
    <row r="134" spans="1:37">
      <c r="A134" s="2" t="str">
        <f t="shared" si="41"/>
        <v/>
      </c>
      <c r="B134" s="10" t="str">
        <f t="shared" si="29"/>
        <v/>
      </c>
      <c r="C134" s="18" t="str">
        <f t="shared" si="30"/>
        <v/>
      </c>
      <c r="D134" s="4" t="str">
        <f t="shared" si="42"/>
        <v/>
      </c>
      <c r="E134" s="4" t="str">
        <f t="shared" si="31"/>
        <v/>
      </c>
      <c r="F134" s="4" t="str">
        <f t="shared" si="32"/>
        <v/>
      </c>
      <c r="G134" s="4" t="str">
        <f t="shared" si="33"/>
        <v/>
      </c>
      <c r="H134" s="4"/>
      <c r="I134" s="4"/>
      <c r="J134" s="4"/>
      <c r="K134" s="4"/>
      <c r="L134" s="4" t="str">
        <f>IF(A134="","",IF(ISERROR(VLOOKUP(A134,'pagos anticipados'!$A$2:$B$5,2,FALSE)),0,VLOOKUP(A134,'pagos anticipados'!$A$2:B132,2,FALSE)))</f>
        <v/>
      </c>
      <c r="M134" s="4" t="str">
        <f t="shared" si="25"/>
        <v/>
      </c>
      <c r="N134" s="1">
        <f t="shared" si="26"/>
        <v>0</v>
      </c>
      <c r="Q134" s="44" t="str">
        <f t="shared" si="34"/>
        <v/>
      </c>
      <c r="R134" s="44" t="str">
        <f t="shared" si="43"/>
        <v/>
      </c>
      <c r="S134" s="44" t="str">
        <f t="shared" si="35"/>
        <v/>
      </c>
      <c r="U134" s="42" t="str">
        <f t="shared" si="44"/>
        <v/>
      </c>
      <c r="V134" s="41" t="str">
        <f t="shared" si="45"/>
        <v/>
      </c>
      <c r="W134" s="41" t="str">
        <f t="shared" si="27"/>
        <v/>
      </c>
      <c r="Y134" s="35" t="str">
        <f t="shared" si="36"/>
        <v/>
      </c>
      <c r="Z134" s="34" t="str">
        <f t="shared" si="46"/>
        <v/>
      </c>
      <c r="AA134" s="34" t="str">
        <f t="shared" si="28"/>
        <v/>
      </c>
      <c r="AC134" s="36" t="str">
        <f t="shared" si="37"/>
        <v/>
      </c>
      <c r="AE134" s="37">
        <f t="shared" si="38"/>
        <v>0</v>
      </c>
      <c r="AG134" s="56" t="str">
        <f t="shared" si="47"/>
        <v/>
      </c>
      <c r="AH134" s="57" t="str">
        <f t="shared" si="39"/>
        <v/>
      </c>
      <c r="AI134" s="57" t="str">
        <f t="shared" si="48"/>
        <v/>
      </c>
      <c r="AJ134" s="57" t="str">
        <f t="shared" si="40"/>
        <v/>
      </c>
      <c r="AK134" s="57" t="str">
        <f t="shared" si="49"/>
        <v/>
      </c>
    </row>
    <row r="135" spans="1:37">
      <c r="A135" s="2" t="str">
        <f t="shared" si="41"/>
        <v/>
      </c>
      <c r="B135" s="10" t="str">
        <f t="shared" si="29"/>
        <v/>
      </c>
      <c r="C135" s="18" t="str">
        <f t="shared" si="30"/>
        <v/>
      </c>
      <c r="D135" s="4" t="str">
        <f t="shared" si="42"/>
        <v/>
      </c>
      <c r="E135" s="4" t="str">
        <f t="shared" si="31"/>
        <v/>
      </c>
      <c r="F135" s="4" t="str">
        <f t="shared" si="32"/>
        <v/>
      </c>
      <c r="G135" s="4" t="str">
        <f t="shared" si="33"/>
        <v/>
      </c>
      <c r="H135" s="4"/>
      <c r="I135" s="4"/>
      <c r="J135" s="4"/>
      <c r="K135" s="4"/>
      <c r="L135" s="4" t="str">
        <f>IF(A135="","",IF(ISERROR(VLOOKUP(A135,'pagos anticipados'!$A$2:$B$5,2,FALSE)),0,VLOOKUP(A135,'pagos anticipados'!$A$2:B133,2,FALSE)))</f>
        <v/>
      </c>
      <c r="M135" s="4" t="str">
        <f t="shared" ref="M135:M198" si="50">IF(A135="","",AK136-AJ136)</f>
        <v/>
      </c>
      <c r="N135" s="1">
        <f t="shared" ref="N135:N198" si="51">IF(A135="",0,+Q135/(1+$O$5)^(A135/No_pagos_al_año))</f>
        <v>0</v>
      </c>
      <c r="Q135" s="44" t="str">
        <f t="shared" si="34"/>
        <v/>
      </c>
      <c r="R135" s="44" t="str">
        <f t="shared" si="43"/>
        <v/>
      </c>
      <c r="S135" s="44" t="str">
        <f t="shared" si="35"/>
        <v/>
      </c>
      <c r="U135" s="42" t="str">
        <f t="shared" si="44"/>
        <v/>
      </c>
      <c r="V135" s="41" t="str">
        <f t="shared" si="45"/>
        <v/>
      </c>
      <c r="W135" s="41" t="str">
        <f t="shared" ref="W135:W162" si="52">IF(A135="","",IF(PAGO_FIJO&gt;R135,R135,PAGO_FIJO-V135))</f>
        <v/>
      </c>
      <c r="Y135" s="35" t="str">
        <f t="shared" si="36"/>
        <v/>
      </c>
      <c r="Z135" s="34" t="str">
        <f t="shared" si="46"/>
        <v/>
      </c>
      <c r="AA135" s="34" t="str">
        <f t="shared" ref="AA135:AA198" si="53">IF(A135="","",+Z135-F135-G135)</f>
        <v/>
      </c>
      <c r="AC135" s="36" t="str">
        <f t="shared" si="37"/>
        <v/>
      </c>
      <c r="AE135" s="37">
        <f t="shared" si="38"/>
        <v>0</v>
      </c>
      <c r="AG135" s="56" t="str">
        <f t="shared" si="47"/>
        <v/>
      </c>
      <c r="AH135" s="57" t="str">
        <f t="shared" si="39"/>
        <v/>
      </c>
      <c r="AI135" s="57" t="str">
        <f t="shared" si="48"/>
        <v/>
      </c>
      <c r="AJ135" s="57" t="str">
        <f t="shared" si="40"/>
        <v/>
      </c>
      <c r="AK135" s="57" t="str">
        <f t="shared" si="49"/>
        <v/>
      </c>
    </row>
    <row r="136" spans="1:37">
      <c r="A136" s="2" t="str">
        <f t="shared" si="41"/>
        <v/>
      </c>
      <c r="B136" s="10" t="str">
        <f t="shared" ref="B136:B199" si="54">IF(A136="","",IF($A$2="mensual",30,IF($A$2="quincenal",15,IF($A$2="catorcenal",14,IF($A$2="decenal",10,IF($A$2="semanal",7))))))</f>
        <v/>
      </c>
      <c r="C136" s="18" t="str">
        <f t="shared" ref="C136:C199" si="55">IF(A136="","",$D$2/360*B136)</f>
        <v/>
      </c>
      <c r="D136" s="4" t="str">
        <f t="shared" si="42"/>
        <v/>
      </c>
      <c r="E136" s="4" t="str">
        <f t="shared" ref="E136:E199" si="56">IF(A136="","",IF(S136&gt;R136,R136,IF(AND($L$368=0,D137&lt;=0),R136,S136)))</f>
        <v/>
      </c>
      <c r="F136" s="4" t="str">
        <f t="shared" ref="F136:F199" si="57">IF(A136="","",D136*C136)</f>
        <v/>
      </c>
      <c r="G136" s="4" t="str">
        <f t="shared" ref="G136:G199" si="58">IF(A136="","",F136*$F$2)</f>
        <v/>
      </c>
      <c r="H136" s="4"/>
      <c r="I136" s="4"/>
      <c r="J136" s="4"/>
      <c r="K136" s="4"/>
      <c r="L136" s="4" t="str">
        <f>IF(A136="","",IF(ISERROR(VLOOKUP(A136,'pagos anticipados'!$A$2:$B$5,2,FALSE)),0,VLOOKUP(A136,'pagos anticipados'!$A$2:B134,2,FALSE)))</f>
        <v/>
      </c>
      <c r="M136" s="4" t="str">
        <f t="shared" si="50"/>
        <v/>
      </c>
      <c r="N136" s="1">
        <f t="shared" si="51"/>
        <v>0</v>
      </c>
      <c r="Q136" s="44" t="str">
        <f t="shared" ref="Q136:Q199" si="59">IF(A136="","",AK137-AJ137)</f>
        <v/>
      </c>
      <c r="R136" s="44" t="str">
        <f t="shared" si="43"/>
        <v/>
      </c>
      <c r="S136" s="44" t="str">
        <f t="shared" ref="S136:S199" si="60">IF(A136="","",IF($G$2="PLAZO Y PAGO",W136,IF($G$2="PAGO",AA136,IF($G$2="PLAZO",AC136,0))))</f>
        <v/>
      </c>
      <c r="U136" s="42" t="str">
        <f t="shared" si="44"/>
        <v/>
      </c>
      <c r="V136" s="41" t="str">
        <f t="shared" si="45"/>
        <v/>
      </c>
      <c r="W136" s="41" t="str">
        <f t="shared" si="52"/>
        <v/>
      </c>
      <c r="Y136" s="35" t="str">
        <f t="shared" ref="Y136:Y199" si="61">IF(A136="","",Y135-1)</f>
        <v/>
      </c>
      <c r="Z136" s="34" t="str">
        <f t="shared" si="46"/>
        <v/>
      </c>
      <c r="AA136" s="34" t="str">
        <f t="shared" si="53"/>
        <v/>
      </c>
      <c r="AC136" s="36" t="str">
        <f t="shared" ref="AC136:AC199" si="62">IF(A136="","",PAGO_FIJO-F136-G136)</f>
        <v/>
      </c>
      <c r="AE136" s="37">
        <f t="shared" ref="AE136:AE199" si="63">IF(AND(A136&lt;=Total_pagos,D136&gt;0),1,0)</f>
        <v>0</v>
      </c>
      <c r="AG136" s="56" t="str">
        <f t="shared" si="47"/>
        <v/>
      </c>
      <c r="AH136" s="57" t="str">
        <f t="shared" ref="AH136:AH199" si="64">IF(A135="","",+AG136*Tasa_del_período_sin_iva)</f>
        <v/>
      </c>
      <c r="AI136" s="57" t="str">
        <f t="shared" si="48"/>
        <v/>
      </c>
      <c r="AJ136" s="57" t="str">
        <f t="shared" ref="AJ136:AJ199" si="65">IF(A135="","",AH136*I.V.A.)</f>
        <v/>
      </c>
      <c r="AK136" s="57" t="str">
        <f t="shared" si="49"/>
        <v/>
      </c>
    </row>
    <row r="137" spans="1:37">
      <c r="A137" s="2" t="str">
        <f t="shared" ref="A137:A200" si="66">IF(OR(A136&gt;=$K$4,A136=""),"",A136+1)</f>
        <v/>
      </c>
      <c r="B137" s="10" t="str">
        <f t="shared" si="54"/>
        <v/>
      </c>
      <c r="C137" s="18" t="str">
        <f t="shared" si="55"/>
        <v/>
      </c>
      <c r="D137" s="4" t="str">
        <f t="shared" ref="D137:D200" si="67">IF(A137="","",R137)</f>
        <v/>
      </c>
      <c r="E137" s="4" t="str">
        <f t="shared" si="56"/>
        <v/>
      </c>
      <c r="F137" s="4" t="str">
        <f t="shared" si="57"/>
        <v/>
      </c>
      <c r="G137" s="4" t="str">
        <f t="shared" si="58"/>
        <v/>
      </c>
      <c r="H137" s="4"/>
      <c r="I137" s="4"/>
      <c r="J137" s="4"/>
      <c r="K137" s="4"/>
      <c r="L137" s="4" t="str">
        <f>IF(A137="","",IF(ISERROR(VLOOKUP(A137,'pagos anticipados'!$A$2:$B$5,2,FALSE)),0,VLOOKUP(A137,'pagos anticipados'!$A$2:B135,2,FALSE)))</f>
        <v/>
      </c>
      <c r="M137" s="4" t="str">
        <f t="shared" si="50"/>
        <v/>
      </c>
      <c r="N137" s="1">
        <f t="shared" si="51"/>
        <v>0</v>
      </c>
      <c r="Q137" s="44" t="str">
        <f t="shared" si="59"/>
        <v/>
      </c>
      <c r="R137" s="44" t="str">
        <f t="shared" ref="R137:R200" si="68">IF(A137="","",IF((R136-S136-L136)&lt;=0,0,(+R136-S136-L136)))</f>
        <v/>
      </c>
      <c r="S137" s="44" t="str">
        <f t="shared" si="60"/>
        <v/>
      </c>
      <c r="U137" s="42" t="str">
        <f t="shared" ref="U137:U200" si="69">IF(A137="","",U136-(PAGO_FIJO-V136))</f>
        <v/>
      </c>
      <c r="V137" s="41" t="str">
        <f t="shared" ref="V137:V200" si="70">IF(A137="","",+U137*Tasa_del_período_sin_iva*(1+I.V.A.))</f>
        <v/>
      </c>
      <c r="W137" s="41" t="str">
        <f t="shared" si="52"/>
        <v/>
      </c>
      <c r="Y137" s="35" t="str">
        <f t="shared" si="61"/>
        <v/>
      </c>
      <c r="Z137" s="34" t="str">
        <f t="shared" ref="Z137:Z200" si="71">IF(A137="","",IF(L136=0,Z136,PMT((Tasa_anual_sin_iva*(1+I.V.A.))/No_pagos_al_año,Y137,-R137)-(R137*(Tasa_anual_sin_iva*(1+I.V.A.))/No_pagos_al_año)+(R137*Tasa_del_período_sin_iva*(1+I.V.A.))))</f>
        <v/>
      </c>
      <c r="AA137" s="34" t="str">
        <f t="shared" si="53"/>
        <v/>
      </c>
      <c r="AC137" s="36" t="str">
        <f t="shared" si="62"/>
        <v/>
      </c>
      <c r="AE137" s="37">
        <f t="shared" si="63"/>
        <v>0</v>
      </c>
      <c r="AG137" s="56" t="str">
        <f t="shared" ref="AG137:AG200" si="72">IF(A136="","",AG136-AI136)</f>
        <v/>
      </c>
      <c r="AH137" s="57" t="str">
        <f t="shared" si="64"/>
        <v/>
      </c>
      <c r="AI137" s="57" t="str">
        <f t="shared" ref="AI137:AI200" si="73">IF(A136="","",IF($AK$8-AH137-AJ137&gt;AG137,AG137,$AK$8-AH137-AJ137))</f>
        <v/>
      </c>
      <c r="AJ137" s="57" t="str">
        <f t="shared" si="65"/>
        <v/>
      </c>
      <c r="AK137" s="57" t="str">
        <f t="shared" ref="AK137:AK200" si="74">IF(A136="","",+AH137+AI137+AJ137)</f>
        <v/>
      </c>
    </row>
    <row r="138" spans="1:37">
      <c r="A138" s="2" t="str">
        <f t="shared" si="66"/>
        <v/>
      </c>
      <c r="B138" s="10" t="str">
        <f t="shared" si="54"/>
        <v/>
      </c>
      <c r="C138" s="18" t="str">
        <f t="shared" si="55"/>
        <v/>
      </c>
      <c r="D138" s="4" t="str">
        <f t="shared" si="67"/>
        <v/>
      </c>
      <c r="E138" s="4" t="str">
        <f t="shared" si="56"/>
        <v/>
      </c>
      <c r="F138" s="4" t="str">
        <f t="shared" si="57"/>
        <v/>
      </c>
      <c r="G138" s="4" t="str">
        <f t="shared" si="58"/>
        <v/>
      </c>
      <c r="H138" s="4"/>
      <c r="I138" s="4"/>
      <c r="J138" s="4"/>
      <c r="K138" s="4"/>
      <c r="L138" s="4" t="str">
        <f>IF(A138="","",IF(ISERROR(VLOOKUP(A138,'pagos anticipados'!$A$2:$B$5,2,FALSE)),0,VLOOKUP(A138,'pagos anticipados'!$A$2:B136,2,FALSE)))</f>
        <v/>
      </c>
      <c r="M138" s="4" t="str">
        <f t="shared" si="50"/>
        <v/>
      </c>
      <c r="N138" s="1">
        <f t="shared" si="51"/>
        <v>0</v>
      </c>
      <c r="Q138" s="44" t="str">
        <f t="shared" si="59"/>
        <v/>
      </c>
      <c r="R138" s="44" t="str">
        <f t="shared" si="68"/>
        <v/>
      </c>
      <c r="S138" s="44" t="str">
        <f t="shared" si="60"/>
        <v/>
      </c>
      <c r="U138" s="42" t="str">
        <f t="shared" si="69"/>
        <v/>
      </c>
      <c r="V138" s="41" t="str">
        <f t="shared" si="70"/>
        <v/>
      </c>
      <c r="W138" s="41" t="str">
        <f t="shared" si="52"/>
        <v/>
      </c>
      <c r="Y138" s="35" t="str">
        <f t="shared" si="61"/>
        <v/>
      </c>
      <c r="Z138" s="34" t="str">
        <f t="shared" si="71"/>
        <v/>
      </c>
      <c r="AA138" s="34" t="str">
        <f t="shared" si="53"/>
        <v/>
      </c>
      <c r="AC138" s="36" t="str">
        <f t="shared" si="62"/>
        <v/>
      </c>
      <c r="AE138" s="37">
        <f t="shared" si="63"/>
        <v>0</v>
      </c>
      <c r="AG138" s="56" t="str">
        <f t="shared" si="72"/>
        <v/>
      </c>
      <c r="AH138" s="57" t="str">
        <f t="shared" si="64"/>
        <v/>
      </c>
      <c r="AI138" s="57" t="str">
        <f t="shared" si="73"/>
        <v/>
      </c>
      <c r="AJ138" s="57" t="str">
        <f t="shared" si="65"/>
        <v/>
      </c>
      <c r="AK138" s="57" t="str">
        <f t="shared" si="74"/>
        <v/>
      </c>
    </row>
    <row r="139" spans="1:37">
      <c r="A139" s="2" t="str">
        <f t="shared" si="66"/>
        <v/>
      </c>
      <c r="B139" s="10" t="str">
        <f t="shared" si="54"/>
        <v/>
      </c>
      <c r="C139" s="18" t="str">
        <f t="shared" si="55"/>
        <v/>
      </c>
      <c r="D139" s="4" t="str">
        <f t="shared" si="67"/>
        <v/>
      </c>
      <c r="E139" s="4" t="str">
        <f t="shared" si="56"/>
        <v/>
      </c>
      <c r="F139" s="4" t="str">
        <f t="shared" si="57"/>
        <v/>
      </c>
      <c r="G139" s="4" t="str">
        <f t="shared" si="58"/>
        <v/>
      </c>
      <c r="H139" s="4"/>
      <c r="I139" s="4"/>
      <c r="J139" s="4"/>
      <c r="K139" s="4"/>
      <c r="L139" s="4" t="str">
        <f>IF(A139="","",IF(ISERROR(VLOOKUP(A139,'pagos anticipados'!$A$2:$B$5,2,FALSE)),0,VLOOKUP(A139,'pagos anticipados'!$A$2:B137,2,FALSE)))</f>
        <v/>
      </c>
      <c r="M139" s="4" t="str">
        <f t="shared" si="50"/>
        <v/>
      </c>
      <c r="N139" s="1">
        <f t="shared" si="51"/>
        <v>0</v>
      </c>
      <c r="Q139" s="44" t="str">
        <f t="shared" si="59"/>
        <v/>
      </c>
      <c r="R139" s="44" t="str">
        <f t="shared" si="68"/>
        <v/>
      </c>
      <c r="S139" s="44" t="str">
        <f t="shared" si="60"/>
        <v/>
      </c>
      <c r="U139" s="42" t="str">
        <f t="shared" si="69"/>
        <v/>
      </c>
      <c r="V139" s="41" t="str">
        <f t="shared" si="70"/>
        <v/>
      </c>
      <c r="W139" s="41" t="str">
        <f t="shared" si="52"/>
        <v/>
      </c>
      <c r="Y139" s="35" t="str">
        <f t="shared" si="61"/>
        <v/>
      </c>
      <c r="Z139" s="34" t="str">
        <f t="shared" si="71"/>
        <v/>
      </c>
      <c r="AA139" s="34" t="str">
        <f t="shared" si="53"/>
        <v/>
      </c>
      <c r="AC139" s="36" t="str">
        <f t="shared" si="62"/>
        <v/>
      </c>
      <c r="AE139" s="37">
        <f t="shared" si="63"/>
        <v>0</v>
      </c>
      <c r="AG139" s="56" t="str">
        <f t="shared" si="72"/>
        <v/>
      </c>
      <c r="AH139" s="57" t="str">
        <f t="shared" si="64"/>
        <v/>
      </c>
      <c r="AI139" s="57" t="str">
        <f t="shared" si="73"/>
        <v/>
      </c>
      <c r="AJ139" s="57" t="str">
        <f t="shared" si="65"/>
        <v/>
      </c>
      <c r="AK139" s="57" t="str">
        <f t="shared" si="74"/>
        <v/>
      </c>
    </row>
    <row r="140" spans="1:37">
      <c r="A140" s="2" t="str">
        <f t="shared" si="66"/>
        <v/>
      </c>
      <c r="B140" s="10" t="str">
        <f t="shared" si="54"/>
        <v/>
      </c>
      <c r="C140" s="18" t="str">
        <f t="shared" si="55"/>
        <v/>
      </c>
      <c r="D140" s="4" t="str">
        <f t="shared" si="67"/>
        <v/>
      </c>
      <c r="E140" s="4" t="str">
        <f t="shared" si="56"/>
        <v/>
      </c>
      <c r="F140" s="4" t="str">
        <f t="shared" si="57"/>
        <v/>
      </c>
      <c r="G140" s="4" t="str">
        <f t="shared" si="58"/>
        <v/>
      </c>
      <c r="H140" s="4"/>
      <c r="I140" s="4"/>
      <c r="J140" s="4"/>
      <c r="K140" s="4"/>
      <c r="L140" s="4" t="str">
        <f>IF(A140="","",IF(ISERROR(VLOOKUP(A140,'pagos anticipados'!$A$2:$B$5,2,FALSE)),0,VLOOKUP(A140,'pagos anticipados'!$A$2:B138,2,FALSE)))</f>
        <v/>
      </c>
      <c r="M140" s="4" t="str">
        <f t="shared" si="50"/>
        <v/>
      </c>
      <c r="N140" s="1">
        <f t="shared" si="51"/>
        <v>0</v>
      </c>
      <c r="Q140" s="44" t="str">
        <f t="shared" si="59"/>
        <v/>
      </c>
      <c r="R140" s="44" t="str">
        <f t="shared" si="68"/>
        <v/>
      </c>
      <c r="S140" s="44" t="str">
        <f t="shared" si="60"/>
        <v/>
      </c>
      <c r="U140" s="42" t="str">
        <f t="shared" si="69"/>
        <v/>
      </c>
      <c r="V140" s="41" t="str">
        <f t="shared" si="70"/>
        <v/>
      </c>
      <c r="W140" s="41" t="str">
        <f t="shared" si="52"/>
        <v/>
      </c>
      <c r="Y140" s="35" t="str">
        <f t="shared" si="61"/>
        <v/>
      </c>
      <c r="Z140" s="34" t="str">
        <f t="shared" si="71"/>
        <v/>
      </c>
      <c r="AA140" s="34" t="str">
        <f t="shared" si="53"/>
        <v/>
      </c>
      <c r="AC140" s="36" t="str">
        <f t="shared" si="62"/>
        <v/>
      </c>
      <c r="AE140" s="37">
        <f t="shared" si="63"/>
        <v>0</v>
      </c>
      <c r="AG140" s="56" t="str">
        <f t="shared" si="72"/>
        <v/>
      </c>
      <c r="AH140" s="57" t="str">
        <f t="shared" si="64"/>
        <v/>
      </c>
      <c r="AI140" s="57" t="str">
        <f t="shared" si="73"/>
        <v/>
      </c>
      <c r="AJ140" s="57" t="str">
        <f t="shared" si="65"/>
        <v/>
      </c>
      <c r="AK140" s="57" t="str">
        <f t="shared" si="74"/>
        <v/>
      </c>
    </row>
    <row r="141" spans="1:37">
      <c r="A141" s="2" t="str">
        <f t="shared" si="66"/>
        <v/>
      </c>
      <c r="B141" s="10" t="str">
        <f t="shared" si="54"/>
        <v/>
      </c>
      <c r="C141" s="18" t="str">
        <f t="shared" si="55"/>
        <v/>
      </c>
      <c r="D141" s="4" t="str">
        <f t="shared" si="67"/>
        <v/>
      </c>
      <c r="E141" s="4" t="str">
        <f t="shared" si="56"/>
        <v/>
      </c>
      <c r="F141" s="4" t="str">
        <f t="shared" si="57"/>
        <v/>
      </c>
      <c r="G141" s="4" t="str">
        <f t="shared" si="58"/>
        <v/>
      </c>
      <c r="H141" s="4"/>
      <c r="I141" s="4"/>
      <c r="J141" s="4"/>
      <c r="K141" s="4"/>
      <c r="L141" s="4" t="str">
        <f>IF(A141="","",IF(ISERROR(VLOOKUP(A141,'pagos anticipados'!$A$2:$B$5,2,FALSE)),0,VLOOKUP(A141,'pagos anticipados'!$A$2:B139,2,FALSE)))</f>
        <v/>
      </c>
      <c r="M141" s="4" t="str">
        <f t="shared" si="50"/>
        <v/>
      </c>
      <c r="N141" s="1">
        <f t="shared" si="51"/>
        <v>0</v>
      </c>
      <c r="Q141" s="44" t="str">
        <f t="shared" si="59"/>
        <v/>
      </c>
      <c r="R141" s="44" t="str">
        <f t="shared" si="68"/>
        <v/>
      </c>
      <c r="S141" s="44" t="str">
        <f t="shared" si="60"/>
        <v/>
      </c>
      <c r="U141" s="42" t="str">
        <f t="shared" si="69"/>
        <v/>
      </c>
      <c r="V141" s="41" t="str">
        <f t="shared" si="70"/>
        <v/>
      </c>
      <c r="W141" s="41" t="str">
        <f t="shared" si="52"/>
        <v/>
      </c>
      <c r="Y141" s="35" t="str">
        <f t="shared" si="61"/>
        <v/>
      </c>
      <c r="Z141" s="34" t="str">
        <f t="shared" si="71"/>
        <v/>
      </c>
      <c r="AA141" s="34" t="str">
        <f t="shared" si="53"/>
        <v/>
      </c>
      <c r="AC141" s="36" t="str">
        <f t="shared" si="62"/>
        <v/>
      </c>
      <c r="AE141" s="37">
        <f t="shared" si="63"/>
        <v>0</v>
      </c>
      <c r="AG141" s="56" t="str">
        <f t="shared" si="72"/>
        <v/>
      </c>
      <c r="AH141" s="57" t="str">
        <f t="shared" si="64"/>
        <v/>
      </c>
      <c r="AI141" s="57" t="str">
        <f t="shared" si="73"/>
        <v/>
      </c>
      <c r="AJ141" s="57" t="str">
        <f t="shared" si="65"/>
        <v/>
      </c>
      <c r="AK141" s="57" t="str">
        <f t="shared" si="74"/>
        <v/>
      </c>
    </row>
    <row r="142" spans="1:37">
      <c r="A142" s="2" t="str">
        <f t="shared" si="66"/>
        <v/>
      </c>
      <c r="B142" s="10" t="str">
        <f t="shared" si="54"/>
        <v/>
      </c>
      <c r="C142" s="18" t="str">
        <f t="shared" si="55"/>
        <v/>
      </c>
      <c r="D142" s="4" t="str">
        <f t="shared" si="67"/>
        <v/>
      </c>
      <c r="E142" s="4" t="str">
        <f t="shared" si="56"/>
        <v/>
      </c>
      <c r="F142" s="4" t="str">
        <f t="shared" si="57"/>
        <v/>
      </c>
      <c r="G142" s="4" t="str">
        <f t="shared" si="58"/>
        <v/>
      </c>
      <c r="H142" s="4"/>
      <c r="I142" s="4"/>
      <c r="J142" s="4"/>
      <c r="K142" s="4"/>
      <c r="L142" s="4" t="str">
        <f>IF(A142="","",IF(ISERROR(VLOOKUP(A142,'pagos anticipados'!$A$2:$B$5,2,FALSE)),0,VLOOKUP(A142,'pagos anticipados'!$A$2:B140,2,FALSE)))</f>
        <v/>
      </c>
      <c r="M142" s="4" t="str">
        <f t="shared" si="50"/>
        <v/>
      </c>
      <c r="N142" s="1">
        <f t="shared" si="51"/>
        <v>0</v>
      </c>
      <c r="Q142" s="44" t="str">
        <f t="shared" si="59"/>
        <v/>
      </c>
      <c r="R142" s="44" t="str">
        <f t="shared" si="68"/>
        <v/>
      </c>
      <c r="S142" s="44" t="str">
        <f t="shared" si="60"/>
        <v/>
      </c>
      <c r="U142" s="42" t="str">
        <f t="shared" si="69"/>
        <v/>
      </c>
      <c r="V142" s="41" t="str">
        <f t="shared" si="70"/>
        <v/>
      </c>
      <c r="W142" s="41" t="str">
        <f t="shared" si="52"/>
        <v/>
      </c>
      <c r="Y142" s="35" t="str">
        <f t="shared" si="61"/>
        <v/>
      </c>
      <c r="Z142" s="34" t="str">
        <f t="shared" si="71"/>
        <v/>
      </c>
      <c r="AA142" s="34" t="str">
        <f t="shared" si="53"/>
        <v/>
      </c>
      <c r="AC142" s="36" t="str">
        <f t="shared" si="62"/>
        <v/>
      </c>
      <c r="AE142" s="37">
        <f t="shared" si="63"/>
        <v>0</v>
      </c>
      <c r="AG142" s="56" t="str">
        <f t="shared" si="72"/>
        <v/>
      </c>
      <c r="AH142" s="57" t="str">
        <f t="shared" si="64"/>
        <v/>
      </c>
      <c r="AI142" s="57" t="str">
        <f t="shared" si="73"/>
        <v/>
      </c>
      <c r="AJ142" s="57" t="str">
        <f t="shared" si="65"/>
        <v/>
      </c>
      <c r="AK142" s="57" t="str">
        <f t="shared" si="74"/>
        <v/>
      </c>
    </row>
    <row r="143" spans="1:37">
      <c r="A143" s="2" t="str">
        <f t="shared" si="66"/>
        <v/>
      </c>
      <c r="B143" s="10" t="str">
        <f t="shared" si="54"/>
        <v/>
      </c>
      <c r="C143" s="18" t="str">
        <f t="shared" si="55"/>
        <v/>
      </c>
      <c r="D143" s="4" t="str">
        <f t="shared" si="67"/>
        <v/>
      </c>
      <c r="E143" s="4" t="str">
        <f t="shared" si="56"/>
        <v/>
      </c>
      <c r="F143" s="4" t="str">
        <f t="shared" si="57"/>
        <v/>
      </c>
      <c r="G143" s="4" t="str">
        <f t="shared" si="58"/>
        <v/>
      </c>
      <c r="H143" s="4"/>
      <c r="I143" s="4"/>
      <c r="J143" s="4"/>
      <c r="K143" s="4"/>
      <c r="L143" s="4" t="str">
        <f>IF(A143="","",IF(ISERROR(VLOOKUP(A143,'pagos anticipados'!$A$2:$B$5,2,FALSE)),0,VLOOKUP(A143,'pagos anticipados'!$A$2:B141,2,FALSE)))</f>
        <v/>
      </c>
      <c r="M143" s="4" t="str">
        <f t="shared" si="50"/>
        <v/>
      </c>
      <c r="N143" s="1">
        <f t="shared" si="51"/>
        <v>0</v>
      </c>
      <c r="Q143" s="44" t="str">
        <f t="shared" si="59"/>
        <v/>
      </c>
      <c r="R143" s="44" t="str">
        <f t="shared" si="68"/>
        <v/>
      </c>
      <c r="S143" s="44" t="str">
        <f t="shared" si="60"/>
        <v/>
      </c>
      <c r="U143" s="42" t="str">
        <f t="shared" si="69"/>
        <v/>
      </c>
      <c r="V143" s="41" t="str">
        <f t="shared" si="70"/>
        <v/>
      </c>
      <c r="W143" s="41" t="str">
        <f t="shared" si="52"/>
        <v/>
      </c>
      <c r="Y143" s="35" t="str">
        <f t="shared" si="61"/>
        <v/>
      </c>
      <c r="Z143" s="34" t="str">
        <f t="shared" si="71"/>
        <v/>
      </c>
      <c r="AA143" s="34" t="str">
        <f t="shared" si="53"/>
        <v/>
      </c>
      <c r="AC143" s="36" t="str">
        <f t="shared" si="62"/>
        <v/>
      </c>
      <c r="AE143" s="37">
        <f t="shared" si="63"/>
        <v>0</v>
      </c>
      <c r="AG143" s="56" t="str">
        <f t="shared" si="72"/>
        <v/>
      </c>
      <c r="AH143" s="57" t="str">
        <f t="shared" si="64"/>
        <v/>
      </c>
      <c r="AI143" s="57" t="str">
        <f t="shared" si="73"/>
        <v/>
      </c>
      <c r="AJ143" s="57" t="str">
        <f t="shared" si="65"/>
        <v/>
      </c>
      <c r="AK143" s="57" t="str">
        <f t="shared" si="74"/>
        <v/>
      </c>
    </row>
    <row r="144" spans="1:37">
      <c r="A144" s="2" t="str">
        <f t="shared" si="66"/>
        <v/>
      </c>
      <c r="B144" s="10" t="str">
        <f t="shared" si="54"/>
        <v/>
      </c>
      <c r="C144" s="18" t="str">
        <f t="shared" si="55"/>
        <v/>
      </c>
      <c r="D144" s="4" t="str">
        <f t="shared" si="67"/>
        <v/>
      </c>
      <c r="E144" s="4" t="str">
        <f t="shared" si="56"/>
        <v/>
      </c>
      <c r="F144" s="4" t="str">
        <f t="shared" si="57"/>
        <v/>
      </c>
      <c r="G144" s="4" t="str">
        <f t="shared" si="58"/>
        <v/>
      </c>
      <c r="H144" s="4"/>
      <c r="I144" s="4"/>
      <c r="J144" s="4"/>
      <c r="K144" s="4"/>
      <c r="L144" s="4" t="str">
        <f>IF(A144="","",IF(ISERROR(VLOOKUP(A144,'pagos anticipados'!$A$2:$B$5,2,FALSE)),0,VLOOKUP(A144,'pagos anticipados'!$A$2:B142,2,FALSE)))</f>
        <v/>
      </c>
      <c r="M144" s="4" t="str">
        <f t="shared" si="50"/>
        <v/>
      </c>
      <c r="N144" s="1">
        <f t="shared" si="51"/>
        <v>0</v>
      </c>
      <c r="Q144" s="44" t="str">
        <f t="shared" si="59"/>
        <v/>
      </c>
      <c r="R144" s="44" t="str">
        <f t="shared" si="68"/>
        <v/>
      </c>
      <c r="S144" s="44" t="str">
        <f t="shared" si="60"/>
        <v/>
      </c>
      <c r="U144" s="42" t="str">
        <f t="shared" si="69"/>
        <v/>
      </c>
      <c r="V144" s="41" t="str">
        <f t="shared" si="70"/>
        <v/>
      </c>
      <c r="W144" s="41" t="str">
        <f t="shared" si="52"/>
        <v/>
      </c>
      <c r="Y144" s="35" t="str">
        <f t="shared" si="61"/>
        <v/>
      </c>
      <c r="Z144" s="34" t="str">
        <f t="shared" si="71"/>
        <v/>
      </c>
      <c r="AA144" s="34" t="str">
        <f t="shared" si="53"/>
        <v/>
      </c>
      <c r="AC144" s="36" t="str">
        <f t="shared" si="62"/>
        <v/>
      </c>
      <c r="AE144" s="37">
        <f t="shared" si="63"/>
        <v>0</v>
      </c>
      <c r="AG144" s="56" t="str">
        <f t="shared" si="72"/>
        <v/>
      </c>
      <c r="AH144" s="57" t="str">
        <f t="shared" si="64"/>
        <v/>
      </c>
      <c r="AI144" s="57" t="str">
        <f t="shared" si="73"/>
        <v/>
      </c>
      <c r="AJ144" s="57" t="str">
        <f t="shared" si="65"/>
        <v/>
      </c>
      <c r="AK144" s="57" t="str">
        <f t="shared" si="74"/>
        <v/>
      </c>
    </row>
    <row r="145" spans="1:37">
      <c r="A145" s="2" t="str">
        <f t="shared" si="66"/>
        <v/>
      </c>
      <c r="B145" s="10" t="str">
        <f t="shared" si="54"/>
        <v/>
      </c>
      <c r="C145" s="18" t="str">
        <f t="shared" si="55"/>
        <v/>
      </c>
      <c r="D145" s="4" t="str">
        <f t="shared" si="67"/>
        <v/>
      </c>
      <c r="E145" s="4" t="str">
        <f t="shared" si="56"/>
        <v/>
      </c>
      <c r="F145" s="4" t="str">
        <f t="shared" si="57"/>
        <v/>
      </c>
      <c r="G145" s="4" t="str">
        <f t="shared" si="58"/>
        <v/>
      </c>
      <c r="H145" s="4"/>
      <c r="I145" s="4"/>
      <c r="J145" s="4"/>
      <c r="K145" s="4"/>
      <c r="L145" s="4" t="str">
        <f>IF(A145="","",IF(ISERROR(VLOOKUP(A145,'pagos anticipados'!$A$2:$B$5,2,FALSE)),0,VLOOKUP(A145,'pagos anticipados'!$A$2:B143,2,FALSE)))</f>
        <v/>
      </c>
      <c r="M145" s="4" t="str">
        <f t="shared" si="50"/>
        <v/>
      </c>
      <c r="N145" s="1">
        <f t="shared" si="51"/>
        <v>0</v>
      </c>
      <c r="Q145" s="44" t="str">
        <f t="shared" si="59"/>
        <v/>
      </c>
      <c r="R145" s="44" t="str">
        <f t="shared" si="68"/>
        <v/>
      </c>
      <c r="S145" s="44" t="str">
        <f t="shared" si="60"/>
        <v/>
      </c>
      <c r="U145" s="42" t="str">
        <f t="shared" si="69"/>
        <v/>
      </c>
      <c r="V145" s="41" t="str">
        <f t="shared" si="70"/>
        <v/>
      </c>
      <c r="W145" s="41" t="str">
        <f t="shared" si="52"/>
        <v/>
      </c>
      <c r="Y145" s="35" t="str">
        <f t="shared" si="61"/>
        <v/>
      </c>
      <c r="Z145" s="34" t="str">
        <f t="shared" si="71"/>
        <v/>
      </c>
      <c r="AA145" s="34" t="str">
        <f t="shared" si="53"/>
        <v/>
      </c>
      <c r="AC145" s="36" t="str">
        <f t="shared" si="62"/>
        <v/>
      </c>
      <c r="AE145" s="37">
        <f t="shared" si="63"/>
        <v>0</v>
      </c>
      <c r="AG145" s="56" t="str">
        <f t="shared" si="72"/>
        <v/>
      </c>
      <c r="AH145" s="57" t="str">
        <f t="shared" si="64"/>
        <v/>
      </c>
      <c r="AI145" s="57" t="str">
        <f t="shared" si="73"/>
        <v/>
      </c>
      <c r="AJ145" s="57" t="str">
        <f t="shared" si="65"/>
        <v/>
      </c>
      <c r="AK145" s="57" t="str">
        <f t="shared" si="74"/>
        <v/>
      </c>
    </row>
    <row r="146" spans="1:37">
      <c r="A146" s="2" t="str">
        <f t="shared" si="66"/>
        <v/>
      </c>
      <c r="B146" s="10" t="str">
        <f t="shared" si="54"/>
        <v/>
      </c>
      <c r="C146" s="18" t="str">
        <f t="shared" si="55"/>
        <v/>
      </c>
      <c r="D146" s="4" t="str">
        <f t="shared" si="67"/>
        <v/>
      </c>
      <c r="E146" s="4" t="str">
        <f t="shared" si="56"/>
        <v/>
      </c>
      <c r="F146" s="4" t="str">
        <f t="shared" si="57"/>
        <v/>
      </c>
      <c r="G146" s="4" t="str">
        <f t="shared" si="58"/>
        <v/>
      </c>
      <c r="H146" s="4"/>
      <c r="I146" s="4"/>
      <c r="J146" s="4"/>
      <c r="K146" s="4"/>
      <c r="L146" s="4" t="str">
        <f>IF(A146="","",IF(ISERROR(VLOOKUP(A146,'pagos anticipados'!$A$2:$B$5,2,FALSE)),0,VLOOKUP(A146,'pagos anticipados'!$A$2:B144,2,FALSE)))</f>
        <v/>
      </c>
      <c r="M146" s="4" t="str">
        <f t="shared" si="50"/>
        <v/>
      </c>
      <c r="N146" s="1">
        <f t="shared" si="51"/>
        <v>0</v>
      </c>
      <c r="Q146" s="44" t="str">
        <f t="shared" si="59"/>
        <v/>
      </c>
      <c r="R146" s="44" t="str">
        <f t="shared" si="68"/>
        <v/>
      </c>
      <c r="S146" s="44" t="str">
        <f t="shared" si="60"/>
        <v/>
      </c>
      <c r="U146" s="42" t="str">
        <f t="shared" si="69"/>
        <v/>
      </c>
      <c r="V146" s="41" t="str">
        <f t="shared" si="70"/>
        <v/>
      </c>
      <c r="W146" s="41" t="str">
        <f t="shared" si="52"/>
        <v/>
      </c>
      <c r="Y146" s="35" t="str">
        <f t="shared" si="61"/>
        <v/>
      </c>
      <c r="Z146" s="34" t="str">
        <f t="shared" si="71"/>
        <v/>
      </c>
      <c r="AA146" s="34" t="str">
        <f t="shared" si="53"/>
        <v/>
      </c>
      <c r="AC146" s="36" t="str">
        <f t="shared" si="62"/>
        <v/>
      </c>
      <c r="AE146" s="37">
        <f t="shared" si="63"/>
        <v>0</v>
      </c>
      <c r="AG146" s="56" t="str">
        <f t="shared" si="72"/>
        <v/>
      </c>
      <c r="AH146" s="57" t="str">
        <f t="shared" si="64"/>
        <v/>
      </c>
      <c r="AI146" s="57" t="str">
        <f t="shared" si="73"/>
        <v/>
      </c>
      <c r="AJ146" s="57" t="str">
        <f t="shared" si="65"/>
        <v/>
      </c>
      <c r="AK146" s="57" t="str">
        <f t="shared" si="74"/>
        <v/>
      </c>
    </row>
    <row r="147" spans="1:37">
      <c r="A147" s="2" t="str">
        <f t="shared" si="66"/>
        <v/>
      </c>
      <c r="B147" s="10" t="str">
        <f t="shared" si="54"/>
        <v/>
      </c>
      <c r="C147" s="18" t="str">
        <f t="shared" si="55"/>
        <v/>
      </c>
      <c r="D147" s="4" t="str">
        <f t="shared" si="67"/>
        <v/>
      </c>
      <c r="E147" s="4" t="str">
        <f t="shared" si="56"/>
        <v/>
      </c>
      <c r="F147" s="4" t="str">
        <f t="shared" si="57"/>
        <v/>
      </c>
      <c r="G147" s="4" t="str">
        <f t="shared" si="58"/>
        <v/>
      </c>
      <c r="H147" s="4"/>
      <c r="I147" s="4"/>
      <c r="J147" s="4"/>
      <c r="K147" s="4"/>
      <c r="L147" s="4" t="str">
        <f>IF(A147="","",IF(ISERROR(VLOOKUP(A147,'pagos anticipados'!$A$2:$B$5,2,FALSE)),0,VLOOKUP(A147,'pagos anticipados'!$A$2:B145,2,FALSE)))</f>
        <v/>
      </c>
      <c r="M147" s="4" t="str">
        <f t="shared" si="50"/>
        <v/>
      </c>
      <c r="N147" s="1">
        <f t="shared" si="51"/>
        <v>0</v>
      </c>
      <c r="Q147" s="44" t="str">
        <f t="shared" si="59"/>
        <v/>
      </c>
      <c r="R147" s="44" t="str">
        <f t="shared" si="68"/>
        <v/>
      </c>
      <c r="S147" s="44" t="str">
        <f t="shared" si="60"/>
        <v/>
      </c>
      <c r="U147" s="42" t="str">
        <f t="shared" si="69"/>
        <v/>
      </c>
      <c r="V147" s="41" t="str">
        <f t="shared" si="70"/>
        <v/>
      </c>
      <c r="W147" s="41" t="str">
        <f t="shared" si="52"/>
        <v/>
      </c>
      <c r="Y147" s="35" t="str">
        <f t="shared" si="61"/>
        <v/>
      </c>
      <c r="Z147" s="34" t="str">
        <f t="shared" si="71"/>
        <v/>
      </c>
      <c r="AA147" s="34" t="str">
        <f t="shared" si="53"/>
        <v/>
      </c>
      <c r="AC147" s="36" t="str">
        <f t="shared" si="62"/>
        <v/>
      </c>
      <c r="AE147" s="37">
        <f t="shared" si="63"/>
        <v>0</v>
      </c>
      <c r="AG147" s="56" t="str">
        <f t="shared" si="72"/>
        <v/>
      </c>
      <c r="AH147" s="57" t="str">
        <f t="shared" si="64"/>
        <v/>
      </c>
      <c r="AI147" s="57" t="str">
        <f t="shared" si="73"/>
        <v/>
      </c>
      <c r="AJ147" s="57" t="str">
        <f t="shared" si="65"/>
        <v/>
      </c>
      <c r="AK147" s="57" t="str">
        <f t="shared" si="74"/>
        <v/>
      </c>
    </row>
    <row r="148" spans="1:37">
      <c r="A148" s="2" t="str">
        <f t="shared" si="66"/>
        <v/>
      </c>
      <c r="B148" s="10" t="str">
        <f t="shared" si="54"/>
        <v/>
      </c>
      <c r="C148" s="18" t="str">
        <f t="shared" si="55"/>
        <v/>
      </c>
      <c r="D148" s="4" t="str">
        <f t="shared" si="67"/>
        <v/>
      </c>
      <c r="E148" s="4" t="str">
        <f t="shared" si="56"/>
        <v/>
      </c>
      <c r="F148" s="4" t="str">
        <f t="shared" si="57"/>
        <v/>
      </c>
      <c r="G148" s="4" t="str">
        <f t="shared" si="58"/>
        <v/>
      </c>
      <c r="H148" s="4"/>
      <c r="I148" s="4"/>
      <c r="J148" s="4"/>
      <c r="K148" s="4"/>
      <c r="L148" s="4" t="str">
        <f>IF(A148="","",IF(ISERROR(VLOOKUP(A148,'pagos anticipados'!$A$2:$B$5,2,FALSE)),0,VLOOKUP(A148,'pagos anticipados'!$A$2:B146,2,FALSE)))</f>
        <v/>
      </c>
      <c r="M148" s="4" t="str">
        <f t="shared" si="50"/>
        <v/>
      </c>
      <c r="N148" s="1">
        <f t="shared" si="51"/>
        <v>0</v>
      </c>
      <c r="Q148" s="44" t="str">
        <f t="shared" si="59"/>
        <v/>
      </c>
      <c r="R148" s="44" t="str">
        <f t="shared" si="68"/>
        <v/>
      </c>
      <c r="S148" s="44" t="str">
        <f t="shared" si="60"/>
        <v/>
      </c>
      <c r="U148" s="42" t="str">
        <f t="shared" si="69"/>
        <v/>
      </c>
      <c r="V148" s="41" t="str">
        <f t="shared" si="70"/>
        <v/>
      </c>
      <c r="W148" s="41" t="str">
        <f t="shared" si="52"/>
        <v/>
      </c>
      <c r="Y148" s="35" t="str">
        <f t="shared" si="61"/>
        <v/>
      </c>
      <c r="Z148" s="34" t="str">
        <f t="shared" si="71"/>
        <v/>
      </c>
      <c r="AA148" s="34" t="str">
        <f t="shared" si="53"/>
        <v/>
      </c>
      <c r="AC148" s="36" t="str">
        <f t="shared" si="62"/>
        <v/>
      </c>
      <c r="AE148" s="37">
        <f t="shared" si="63"/>
        <v>0</v>
      </c>
      <c r="AG148" s="56" t="str">
        <f t="shared" si="72"/>
        <v/>
      </c>
      <c r="AH148" s="57" t="str">
        <f t="shared" si="64"/>
        <v/>
      </c>
      <c r="AI148" s="57" t="str">
        <f t="shared" si="73"/>
        <v/>
      </c>
      <c r="AJ148" s="57" t="str">
        <f t="shared" si="65"/>
        <v/>
      </c>
      <c r="AK148" s="57" t="str">
        <f t="shared" si="74"/>
        <v/>
      </c>
    </row>
    <row r="149" spans="1:37">
      <c r="A149" s="2" t="str">
        <f t="shared" si="66"/>
        <v/>
      </c>
      <c r="B149" s="10" t="str">
        <f t="shared" si="54"/>
        <v/>
      </c>
      <c r="C149" s="18" t="str">
        <f t="shared" si="55"/>
        <v/>
      </c>
      <c r="D149" s="4" t="str">
        <f t="shared" si="67"/>
        <v/>
      </c>
      <c r="E149" s="4" t="str">
        <f t="shared" si="56"/>
        <v/>
      </c>
      <c r="F149" s="4" t="str">
        <f t="shared" si="57"/>
        <v/>
      </c>
      <c r="G149" s="4" t="str">
        <f t="shared" si="58"/>
        <v/>
      </c>
      <c r="H149" s="4"/>
      <c r="I149" s="4"/>
      <c r="J149" s="4"/>
      <c r="K149" s="4"/>
      <c r="L149" s="4" t="str">
        <f>IF(A149="","",IF(ISERROR(VLOOKUP(A149,'pagos anticipados'!$A$2:$B$5,2,FALSE)),0,VLOOKUP(A149,'pagos anticipados'!$A$2:B147,2,FALSE)))</f>
        <v/>
      </c>
      <c r="M149" s="4" t="str">
        <f t="shared" si="50"/>
        <v/>
      </c>
      <c r="N149" s="1">
        <f t="shared" si="51"/>
        <v>0</v>
      </c>
      <c r="Q149" s="44" t="str">
        <f t="shared" si="59"/>
        <v/>
      </c>
      <c r="R149" s="44" t="str">
        <f t="shared" si="68"/>
        <v/>
      </c>
      <c r="S149" s="44" t="str">
        <f t="shared" si="60"/>
        <v/>
      </c>
      <c r="U149" s="42" t="str">
        <f t="shared" si="69"/>
        <v/>
      </c>
      <c r="V149" s="41" t="str">
        <f t="shared" si="70"/>
        <v/>
      </c>
      <c r="W149" s="41" t="str">
        <f t="shared" si="52"/>
        <v/>
      </c>
      <c r="Y149" s="35" t="str">
        <f t="shared" si="61"/>
        <v/>
      </c>
      <c r="Z149" s="34" t="str">
        <f t="shared" si="71"/>
        <v/>
      </c>
      <c r="AA149" s="34" t="str">
        <f t="shared" si="53"/>
        <v/>
      </c>
      <c r="AC149" s="36" t="str">
        <f t="shared" si="62"/>
        <v/>
      </c>
      <c r="AE149" s="37">
        <f t="shared" si="63"/>
        <v>0</v>
      </c>
      <c r="AG149" s="56" t="str">
        <f t="shared" si="72"/>
        <v/>
      </c>
      <c r="AH149" s="57" t="str">
        <f t="shared" si="64"/>
        <v/>
      </c>
      <c r="AI149" s="57" t="str">
        <f t="shared" si="73"/>
        <v/>
      </c>
      <c r="AJ149" s="57" t="str">
        <f t="shared" si="65"/>
        <v/>
      </c>
      <c r="AK149" s="57" t="str">
        <f t="shared" si="74"/>
        <v/>
      </c>
    </row>
    <row r="150" spans="1:37">
      <c r="A150" s="2" t="str">
        <f t="shared" si="66"/>
        <v/>
      </c>
      <c r="B150" s="10" t="str">
        <f t="shared" si="54"/>
        <v/>
      </c>
      <c r="C150" s="18" t="str">
        <f t="shared" si="55"/>
        <v/>
      </c>
      <c r="D150" s="4" t="str">
        <f t="shared" si="67"/>
        <v/>
      </c>
      <c r="E150" s="4" t="str">
        <f t="shared" si="56"/>
        <v/>
      </c>
      <c r="F150" s="4" t="str">
        <f t="shared" si="57"/>
        <v/>
      </c>
      <c r="G150" s="4" t="str">
        <f t="shared" si="58"/>
        <v/>
      </c>
      <c r="H150" s="4"/>
      <c r="I150" s="4"/>
      <c r="J150" s="4"/>
      <c r="K150" s="4"/>
      <c r="L150" s="4" t="str">
        <f>IF(A150="","",IF(ISERROR(VLOOKUP(A150,'pagos anticipados'!$A$2:$B$5,2,FALSE)),0,VLOOKUP(A150,'pagos anticipados'!$A$2:B148,2,FALSE)))</f>
        <v/>
      </c>
      <c r="M150" s="4" t="str">
        <f t="shared" si="50"/>
        <v/>
      </c>
      <c r="N150" s="1">
        <f t="shared" si="51"/>
        <v>0</v>
      </c>
      <c r="Q150" s="44" t="str">
        <f t="shared" si="59"/>
        <v/>
      </c>
      <c r="R150" s="44" t="str">
        <f t="shared" si="68"/>
        <v/>
      </c>
      <c r="S150" s="44" t="str">
        <f t="shared" si="60"/>
        <v/>
      </c>
      <c r="U150" s="42" t="str">
        <f t="shared" si="69"/>
        <v/>
      </c>
      <c r="V150" s="41" t="str">
        <f t="shared" si="70"/>
        <v/>
      </c>
      <c r="W150" s="41" t="str">
        <f t="shared" si="52"/>
        <v/>
      </c>
      <c r="Y150" s="35" t="str">
        <f t="shared" si="61"/>
        <v/>
      </c>
      <c r="Z150" s="34" t="str">
        <f t="shared" si="71"/>
        <v/>
      </c>
      <c r="AA150" s="34" t="str">
        <f t="shared" si="53"/>
        <v/>
      </c>
      <c r="AC150" s="36" t="str">
        <f t="shared" si="62"/>
        <v/>
      </c>
      <c r="AE150" s="37">
        <f t="shared" si="63"/>
        <v>0</v>
      </c>
      <c r="AG150" s="56" t="str">
        <f t="shared" si="72"/>
        <v/>
      </c>
      <c r="AH150" s="57" t="str">
        <f t="shared" si="64"/>
        <v/>
      </c>
      <c r="AI150" s="57" t="str">
        <f t="shared" si="73"/>
        <v/>
      </c>
      <c r="AJ150" s="57" t="str">
        <f t="shared" si="65"/>
        <v/>
      </c>
      <c r="AK150" s="57" t="str">
        <f t="shared" si="74"/>
        <v/>
      </c>
    </row>
    <row r="151" spans="1:37">
      <c r="A151" s="2" t="str">
        <f t="shared" si="66"/>
        <v/>
      </c>
      <c r="B151" s="10" t="str">
        <f t="shared" si="54"/>
        <v/>
      </c>
      <c r="C151" s="18" t="str">
        <f t="shared" si="55"/>
        <v/>
      </c>
      <c r="D151" s="4" t="str">
        <f t="shared" si="67"/>
        <v/>
      </c>
      <c r="E151" s="4" t="str">
        <f t="shared" si="56"/>
        <v/>
      </c>
      <c r="F151" s="4" t="str">
        <f t="shared" si="57"/>
        <v/>
      </c>
      <c r="G151" s="4" t="str">
        <f t="shared" si="58"/>
        <v/>
      </c>
      <c r="H151" s="4"/>
      <c r="I151" s="4"/>
      <c r="J151" s="4"/>
      <c r="K151" s="4"/>
      <c r="L151" s="4" t="str">
        <f>IF(A151="","",IF(ISERROR(VLOOKUP(A151,'pagos anticipados'!$A$2:$B$5,2,FALSE)),0,VLOOKUP(A151,'pagos anticipados'!$A$2:B149,2,FALSE)))</f>
        <v/>
      </c>
      <c r="M151" s="4" t="str">
        <f t="shared" si="50"/>
        <v/>
      </c>
      <c r="N151" s="1">
        <f t="shared" si="51"/>
        <v>0</v>
      </c>
      <c r="Q151" s="44" t="str">
        <f t="shared" si="59"/>
        <v/>
      </c>
      <c r="R151" s="44" t="str">
        <f t="shared" si="68"/>
        <v/>
      </c>
      <c r="S151" s="44" t="str">
        <f t="shared" si="60"/>
        <v/>
      </c>
      <c r="U151" s="42" t="str">
        <f t="shared" si="69"/>
        <v/>
      </c>
      <c r="V151" s="41" t="str">
        <f t="shared" si="70"/>
        <v/>
      </c>
      <c r="W151" s="41" t="str">
        <f t="shared" si="52"/>
        <v/>
      </c>
      <c r="Y151" s="35" t="str">
        <f t="shared" si="61"/>
        <v/>
      </c>
      <c r="Z151" s="34" t="str">
        <f t="shared" si="71"/>
        <v/>
      </c>
      <c r="AA151" s="34" t="str">
        <f t="shared" si="53"/>
        <v/>
      </c>
      <c r="AC151" s="36" t="str">
        <f t="shared" si="62"/>
        <v/>
      </c>
      <c r="AE151" s="37">
        <f t="shared" si="63"/>
        <v>0</v>
      </c>
      <c r="AG151" s="56" t="str">
        <f t="shared" si="72"/>
        <v/>
      </c>
      <c r="AH151" s="57" t="str">
        <f t="shared" si="64"/>
        <v/>
      </c>
      <c r="AI151" s="57" t="str">
        <f t="shared" si="73"/>
        <v/>
      </c>
      <c r="AJ151" s="57" t="str">
        <f t="shared" si="65"/>
        <v/>
      </c>
      <c r="AK151" s="57" t="str">
        <f t="shared" si="74"/>
        <v/>
      </c>
    </row>
    <row r="152" spans="1:37">
      <c r="A152" s="2" t="str">
        <f t="shared" si="66"/>
        <v/>
      </c>
      <c r="B152" s="10" t="str">
        <f t="shared" si="54"/>
        <v/>
      </c>
      <c r="C152" s="18" t="str">
        <f t="shared" si="55"/>
        <v/>
      </c>
      <c r="D152" s="4" t="str">
        <f t="shared" si="67"/>
        <v/>
      </c>
      <c r="E152" s="4" t="str">
        <f t="shared" si="56"/>
        <v/>
      </c>
      <c r="F152" s="4" t="str">
        <f t="shared" si="57"/>
        <v/>
      </c>
      <c r="G152" s="4" t="str">
        <f t="shared" si="58"/>
        <v/>
      </c>
      <c r="H152" s="4"/>
      <c r="I152" s="4"/>
      <c r="J152" s="4"/>
      <c r="K152" s="4"/>
      <c r="L152" s="4" t="str">
        <f>IF(A152="","",IF(ISERROR(VLOOKUP(A152,'pagos anticipados'!$A$2:$B$5,2,FALSE)),0,VLOOKUP(A152,'pagos anticipados'!$A$2:B150,2,FALSE)))</f>
        <v/>
      </c>
      <c r="M152" s="4" t="str">
        <f t="shared" si="50"/>
        <v/>
      </c>
      <c r="N152" s="1">
        <f t="shared" si="51"/>
        <v>0</v>
      </c>
      <c r="Q152" s="44" t="str">
        <f t="shared" si="59"/>
        <v/>
      </c>
      <c r="R152" s="44" t="str">
        <f t="shared" si="68"/>
        <v/>
      </c>
      <c r="S152" s="44" t="str">
        <f t="shared" si="60"/>
        <v/>
      </c>
      <c r="U152" s="42" t="str">
        <f t="shared" si="69"/>
        <v/>
      </c>
      <c r="V152" s="41" t="str">
        <f t="shared" si="70"/>
        <v/>
      </c>
      <c r="W152" s="41" t="str">
        <f t="shared" si="52"/>
        <v/>
      </c>
      <c r="Y152" s="35" t="str">
        <f t="shared" si="61"/>
        <v/>
      </c>
      <c r="Z152" s="34" t="str">
        <f t="shared" si="71"/>
        <v/>
      </c>
      <c r="AA152" s="34" t="str">
        <f t="shared" si="53"/>
        <v/>
      </c>
      <c r="AC152" s="36" t="str">
        <f t="shared" si="62"/>
        <v/>
      </c>
      <c r="AE152" s="37">
        <f t="shared" si="63"/>
        <v>0</v>
      </c>
      <c r="AG152" s="56" t="str">
        <f t="shared" si="72"/>
        <v/>
      </c>
      <c r="AH152" s="57" t="str">
        <f t="shared" si="64"/>
        <v/>
      </c>
      <c r="AI152" s="57" t="str">
        <f t="shared" si="73"/>
        <v/>
      </c>
      <c r="AJ152" s="57" t="str">
        <f t="shared" si="65"/>
        <v/>
      </c>
      <c r="AK152" s="57" t="str">
        <f t="shared" si="74"/>
        <v/>
      </c>
    </row>
    <row r="153" spans="1:37">
      <c r="A153" s="2" t="str">
        <f t="shared" si="66"/>
        <v/>
      </c>
      <c r="B153" s="10" t="str">
        <f t="shared" si="54"/>
        <v/>
      </c>
      <c r="C153" s="18" t="str">
        <f t="shared" si="55"/>
        <v/>
      </c>
      <c r="D153" s="4" t="str">
        <f t="shared" si="67"/>
        <v/>
      </c>
      <c r="E153" s="4" t="str">
        <f t="shared" si="56"/>
        <v/>
      </c>
      <c r="F153" s="4" t="str">
        <f t="shared" si="57"/>
        <v/>
      </c>
      <c r="G153" s="4" t="str">
        <f t="shared" si="58"/>
        <v/>
      </c>
      <c r="H153" s="4"/>
      <c r="I153" s="4"/>
      <c r="J153" s="4"/>
      <c r="K153" s="4"/>
      <c r="L153" s="4" t="str">
        <f>IF(A153="","",IF(ISERROR(VLOOKUP(A153,'pagos anticipados'!$A$2:$B$5,2,FALSE)),0,VLOOKUP(A153,'pagos anticipados'!$A$2:B151,2,FALSE)))</f>
        <v/>
      </c>
      <c r="M153" s="4" t="str">
        <f t="shared" si="50"/>
        <v/>
      </c>
      <c r="N153" s="1">
        <f t="shared" si="51"/>
        <v>0</v>
      </c>
      <c r="Q153" s="44" t="str">
        <f t="shared" si="59"/>
        <v/>
      </c>
      <c r="R153" s="44" t="str">
        <f t="shared" si="68"/>
        <v/>
      </c>
      <c r="S153" s="44" t="str">
        <f t="shared" si="60"/>
        <v/>
      </c>
      <c r="U153" s="42" t="str">
        <f t="shared" si="69"/>
        <v/>
      </c>
      <c r="V153" s="41" t="str">
        <f t="shared" si="70"/>
        <v/>
      </c>
      <c r="W153" s="41" t="str">
        <f t="shared" si="52"/>
        <v/>
      </c>
      <c r="Y153" s="35" t="str">
        <f t="shared" si="61"/>
        <v/>
      </c>
      <c r="Z153" s="34" t="str">
        <f t="shared" si="71"/>
        <v/>
      </c>
      <c r="AA153" s="34" t="str">
        <f t="shared" si="53"/>
        <v/>
      </c>
      <c r="AC153" s="36" t="str">
        <f t="shared" si="62"/>
        <v/>
      </c>
      <c r="AE153" s="37">
        <f t="shared" si="63"/>
        <v>0</v>
      </c>
      <c r="AG153" s="56" t="str">
        <f t="shared" si="72"/>
        <v/>
      </c>
      <c r="AH153" s="57" t="str">
        <f t="shared" si="64"/>
        <v/>
      </c>
      <c r="AI153" s="57" t="str">
        <f t="shared" si="73"/>
        <v/>
      </c>
      <c r="AJ153" s="57" t="str">
        <f t="shared" si="65"/>
        <v/>
      </c>
      <c r="AK153" s="57" t="str">
        <f t="shared" si="74"/>
        <v/>
      </c>
    </row>
    <row r="154" spans="1:37">
      <c r="A154" s="2" t="str">
        <f t="shared" si="66"/>
        <v/>
      </c>
      <c r="B154" s="10" t="str">
        <f t="shared" si="54"/>
        <v/>
      </c>
      <c r="C154" s="18" t="str">
        <f t="shared" si="55"/>
        <v/>
      </c>
      <c r="D154" s="4" t="str">
        <f t="shared" si="67"/>
        <v/>
      </c>
      <c r="E154" s="4" t="str">
        <f t="shared" si="56"/>
        <v/>
      </c>
      <c r="F154" s="4" t="str">
        <f t="shared" si="57"/>
        <v/>
      </c>
      <c r="G154" s="4" t="str">
        <f t="shared" si="58"/>
        <v/>
      </c>
      <c r="H154" s="4"/>
      <c r="I154" s="4"/>
      <c r="J154" s="4"/>
      <c r="K154" s="4"/>
      <c r="L154" s="4" t="str">
        <f>IF(A154="","",IF(ISERROR(VLOOKUP(A154,'pagos anticipados'!$A$2:$B$5,2,FALSE)),0,VLOOKUP(A154,'pagos anticipados'!$A$2:B152,2,FALSE)))</f>
        <v/>
      </c>
      <c r="M154" s="4" t="str">
        <f t="shared" si="50"/>
        <v/>
      </c>
      <c r="N154" s="1">
        <f t="shared" si="51"/>
        <v>0</v>
      </c>
      <c r="Q154" s="44" t="str">
        <f t="shared" si="59"/>
        <v/>
      </c>
      <c r="R154" s="44" t="str">
        <f t="shared" si="68"/>
        <v/>
      </c>
      <c r="S154" s="44" t="str">
        <f t="shared" si="60"/>
        <v/>
      </c>
      <c r="U154" s="42" t="str">
        <f t="shared" si="69"/>
        <v/>
      </c>
      <c r="V154" s="41" t="str">
        <f t="shared" si="70"/>
        <v/>
      </c>
      <c r="W154" s="41" t="str">
        <f t="shared" si="52"/>
        <v/>
      </c>
      <c r="Y154" s="35" t="str">
        <f t="shared" si="61"/>
        <v/>
      </c>
      <c r="Z154" s="34" t="str">
        <f t="shared" si="71"/>
        <v/>
      </c>
      <c r="AA154" s="34" t="str">
        <f t="shared" si="53"/>
        <v/>
      </c>
      <c r="AC154" s="36" t="str">
        <f t="shared" si="62"/>
        <v/>
      </c>
      <c r="AE154" s="37">
        <f t="shared" si="63"/>
        <v>0</v>
      </c>
      <c r="AG154" s="56" t="str">
        <f t="shared" si="72"/>
        <v/>
      </c>
      <c r="AH154" s="57" t="str">
        <f t="shared" si="64"/>
        <v/>
      </c>
      <c r="AI154" s="57" t="str">
        <f t="shared" si="73"/>
        <v/>
      </c>
      <c r="AJ154" s="57" t="str">
        <f t="shared" si="65"/>
        <v/>
      </c>
      <c r="AK154" s="57" t="str">
        <f t="shared" si="74"/>
        <v/>
      </c>
    </row>
    <row r="155" spans="1:37">
      <c r="A155" s="2" t="str">
        <f t="shared" si="66"/>
        <v/>
      </c>
      <c r="B155" s="10" t="str">
        <f t="shared" si="54"/>
        <v/>
      </c>
      <c r="C155" s="18" t="str">
        <f t="shared" si="55"/>
        <v/>
      </c>
      <c r="D155" s="4" t="str">
        <f t="shared" si="67"/>
        <v/>
      </c>
      <c r="E155" s="4" t="str">
        <f t="shared" si="56"/>
        <v/>
      </c>
      <c r="F155" s="4" t="str">
        <f t="shared" si="57"/>
        <v/>
      </c>
      <c r="G155" s="4" t="str">
        <f t="shared" si="58"/>
        <v/>
      </c>
      <c r="H155" s="4"/>
      <c r="I155" s="4"/>
      <c r="J155" s="4"/>
      <c r="K155" s="4"/>
      <c r="L155" s="4" t="str">
        <f>IF(A155="","",IF(ISERROR(VLOOKUP(A155,'pagos anticipados'!$A$2:$B$5,2,FALSE)),0,VLOOKUP(A155,'pagos anticipados'!$A$2:B153,2,FALSE)))</f>
        <v/>
      </c>
      <c r="M155" s="4" t="str">
        <f t="shared" si="50"/>
        <v/>
      </c>
      <c r="N155" s="1">
        <f t="shared" si="51"/>
        <v>0</v>
      </c>
      <c r="Q155" s="44" t="str">
        <f t="shared" si="59"/>
        <v/>
      </c>
      <c r="R155" s="44" t="str">
        <f t="shared" si="68"/>
        <v/>
      </c>
      <c r="S155" s="44" t="str">
        <f t="shared" si="60"/>
        <v/>
      </c>
      <c r="U155" s="42" t="str">
        <f t="shared" si="69"/>
        <v/>
      </c>
      <c r="V155" s="41" t="str">
        <f t="shared" si="70"/>
        <v/>
      </c>
      <c r="W155" s="41" t="str">
        <f t="shared" si="52"/>
        <v/>
      </c>
      <c r="Y155" s="35" t="str">
        <f t="shared" si="61"/>
        <v/>
      </c>
      <c r="Z155" s="34" t="str">
        <f t="shared" si="71"/>
        <v/>
      </c>
      <c r="AA155" s="34" t="str">
        <f t="shared" si="53"/>
        <v/>
      </c>
      <c r="AC155" s="36" t="str">
        <f t="shared" si="62"/>
        <v/>
      </c>
      <c r="AE155" s="37">
        <f t="shared" si="63"/>
        <v>0</v>
      </c>
      <c r="AG155" s="56" t="str">
        <f t="shared" si="72"/>
        <v/>
      </c>
      <c r="AH155" s="57" t="str">
        <f t="shared" si="64"/>
        <v/>
      </c>
      <c r="AI155" s="57" t="str">
        <f t="shared" si="73"/>
        <v/>
      </c>
      <c r="AJ155" s="57" t="str">
        <f t="shared" si="65"/>
        <v/>
      </c>
      <c r="AK155" s="57" t="str">
        <f t="shared" si="74"/>
        <v/>
      </c>
    </row>
    <row r="156" spans="1:37">
      <c r="A156" s="2" t="str">
        <f t="shared" si="66"/>
        <v/>
      </c>
      <c r="B156" s="10" t="str">
        <f t="shared" si="54"/>
        <v/>
      </c>
      <c r="C156" s="18" t="str">
        <f t="shared" si="55"/>
        <v/>
      </c>
      <c r="D156" s="4" t="str">
        <f t="shared" si="67"/>
        <v/>
      </c>
      <c r="E156" s="4" t="str">
        <f t="shared" si="56"/>
        <v/>
      </c>
      <c r="F156" s="4" t="str">
        <f t="shared" si="57"/>
        <v/>
      </c>
      <c r="G156" s="4" t="str">
        <f t="shared" si="58"/>
        <v/>
      </c>
      <c r="H156" s="4"/>
      <c r="I156" s="4"/>
      <c r="J156" s="4"/>
      <c r="K156" s="4"/>
      <c r="L156" s="4" t="str">
        <f>IF(A156="","",IF(ISERROR(VLOOKUP(A156,'pagos anticipados'!$A$2:$B$5,2,FALSE)),0,VLOOKUP(A156,'pagos anticipados'!$A$2:B154,2,FALSE)))</f>
        <v/>
      </c>
      <c r="M156" s="4" t="str">
        <f t="shared" si="50"/>
        <v/>
      </c>
      <c r="N156" s="1">
        <f t="shared" si="51"/>
        <v>0</v>
      </c>
      <c r="Q156" s="44" t="str">
        <f t="shared" si="59"/>
        <v/>
      </c>
      <c r="R156" s="44" t="str">
        <f t="shared" si="68"/>
        <v/>
      </c>
      <c r="S156" s="44" t="str">
        <f t="shared" si="60"/>
        <v/>
      </c>
      <c r="U156" s="42" t="str">
        <f t="shared" si="69"/>
        <v/>
      </c>
      <c r="V156" s="41" t="str">
        <f t="shared" si="70"/>
        <v/>
      </c>
      <c r="W156" s="41" t="str">
        <f t="shared" si="52"/>
        <v/>
      </c>
      <c r="Y156" s="35" t="str">
        <f t="shared" si="61"/>
        <v/>
      </c>
      <c r="Z156" s="34" t="str">
        <f t="shared" si="71"/>
        <v/>
      </c>
      <c r="AA156" s="34" t="str">
        <f t="shared" si="53"/>
        <v/>
      </c>
      <c r="AC156" s="36" t="str">
        <f t="shared" si="62"/>
        <v/>
      </c>
      <c r="AE156" s="37">
        <f t="shared" si="63"/>
        <v>0</v>
      </c>
      <c r="AG156" s="56" t="str">
        <f t="shared" si="72"/>
        <v/>
      </c>
      <c r="AH156" s="57" t="str">
        <f t="shared" si="64"/>
        <v/>
      </c>
      <c r="AI156" s="57" t="str">
        <f t="shared" si="73"/>
        <v/>
      </c>
      <c r="AJ156" s="57" t="str">
        <f t="shared" si="65"/>
        <v/>
      </c>
      <c r="AK156" s="57" t="str">
        <f t="shared" si="74"/>
        <v/>
      </c>
    </row>
    <row r="157" spans="1:37">
      <c r="A157" s="2" t="str">
        <f t="shared" si="66"/>
        <v/>
      </c>
      <c r="B157" s="10" t="str">
        <f t="shared" si="54"/>
        <v/>
      </c>
      <c r="C157" s="18" t="str">
        <f t="shared" si="55"/>
        <v/>
      </c>
      <c r="D157" s="4" t="str">
        <f t="shared" si="67"/>
        <v/>
      </c>
      <c r="E157" s="4" t="str">
        <f t="shared" si="56"/>
        <v/>
      </c>
      <c r="F157" s="4" t="str">
        <f t="shared" si="57"/>
        <v/>
      </c>
      <c r="G157" s="4" t="str">
        <f t="shared" si="58"/>
        <v/>
      </c>
      <c r="H157" s="4"/>
      <c r="I157" s="4"/>
      <c r="J157" s="4"/>
      <c r="K157" s="4"/>
      <c r="L157" s="4" t="str">
        <f>IF(A157="","",IF(ISERROR(VLOOKUP(A157,'pagos anticipados'!$A$2:$B$5,2,FALSE)),0,VLOOKUP(A157,'pagos anticipados'!$A$2:B155,2,FALSE)))</f>
        <v/>
      </c>
      <c r="M157" s="4" t="str">
        <f t="shared" si="50"/>
        <v/>
      </c>
      <c r="N157" s="1">
        <f t="shared" si="51"/>
        <v>0</v>
      </c>
      <c r="Q157" s="44" t="str">
        <f t="shared" si="59"/>
        <v/>
      </c>
      <c r="R157" s="44" t="str">
        <f t="shared" si="68"/>
        <v/>
      </c>
      <c r="S157" s="44" t="str">
        <f t="shared" si="60"/>
        <v/>
      </c>
      <c r="U157" s="42" t="str">
        <f t="shared" si="69"/>
        <v/>
      </c>
      <c r="V157" s="41" t="str">
        <f t="shared" si="70"/>
        <v/>
      </c>
      <c r="W157" s="41" t="str">
        <f t="shared" si="52"/>
        <v/>
      </c>
      <c r="Y157" s="35" t="str">
        <f t="shared" si="61"/>
        <v/>
      </c>
      <c r="Z157" s="34" t="str">
        <f t="shared" si="71"/>
        <v/>
      </c>
      <c r="AA157" s="34" t="str">
        <f t="shared" si="53"/>
        <v/>
      </c>
      <c r="AC157" s="36" t="str">
        <f t="shared" si="62"/>
        <v/>
      </c>
      <c r="AE157" s="37">
        <f t="shared" si="63"/>
        <v>0</v>
      </c>
      <c r="AG157" s="56" t="str">
        <f t="shared" si="72"/>
        <v/>
      </c>
      <c r="AH157" s="57" t="str">
        <f t="shared" si="64"/>
        <v/>
      </c>
      <c r="AI157" s="57" t="str">
        <f t="shared" si="73"/>
        <v/>
      </c>
      <c r="AJ157" s="57" t="str">
        <f t="shared" si="65"/>
        <v/>
      </c>
      <c r="AK157" s="57" t="str">
        <f t="shared" si="74"/>
        <v/>
      </c>
    </row>
    <row r="158" spans="1:37">
      <c r="A158" s="2" t="str">
        <f t="shared" si="66"/>
        <v/>
      </c>
      <c r="B158" s="10" t="str">
        <f t="shared" si="54"/>
        <v/>
      </c>
      <c r="C158" s="18" t="str">
        <f t="shared" si="55"/>
        <v/>
      </c>
      <c r="D158" s="4" t="str">
        <f t="shared" si="67"/>
        <v/>
      </c>
      <c r="E158" s="4" t="str">
        <f t="shared" si="56"/>
        <v/>
      </c>
      <c r="F158" s="4" t="str">
        <f t="shared" si="57"/>
        <v/>
      </c>
      <c r="G158" s="4" t="str">
        <f t="shared" si="58"/>
        <v/>
      </c>
      <c r="H158" s="4"/>
      <c r="I158" s="4"/>
      <c r="J158" s="4"/>
      <c r="K158" s="4"/>
      <c r="L158" s="4" t="str">
        <f>IF(A158="","",IF(ISERROR(VLOOKUP(A158,'pagos anticipados'!$A$2:$B$5,2,FALSE)),0,VLOOKUP(A158,'pagos anticipados'!$A$2:B156,2,FALSE)))</f>
        <v/>
      </c>
      <c r="M158" s="4" t="str">
        <f t="shared" si="50"/>
        <v/>
      </c>
      <c r="N158" s="1">
        <f t="shared" si="51"/>
        <v>0</v>
      </c>
      <c r="Q158" s="44" t="str">
        <f t="shared" si="59"/>
        <v/>
      </c>
      <c r="R158" s="44" t="str">
        <f t="shared" si="68"/>
        <v/>
      </c>
      <c r="S158" s="44" t="str">
        <f t="shared" si="60"/>
        <v/>
      </c>
      <c r="U158" s="42" t="str">
        <f t="shared" si="69"/>
        <v/>
      </c>
      <c r="V158" s="41" t="str">
        <f t="shared" si="70"/>
        <v/>
      </c>
      <c r="W158" s="41" t="str">
        <f t="shared" si="52"/>
        <v/>
      </c>
      <c r="Y158" s="35" t="str">
        <f t="shared" si="61"/>
        <v/>
      </c>
      <c r="Z158" s="34" t="str">
        <f t="shared" si="71"/>
        <v/>
      </c>
      <c r="AA158" s="34" t="str">
        <f t="shared" si="53"/>
        <v/>
      </c>
      <c r="AC158" s="36" t="str">
        <f t="shared" si="62"/>
        <v/>
      </c>
      <c r="AE158" s="37">
        <f t="shared" si="63"/>
        <v>0</v>
      </c>
      <c r="AG158" s="56" t="str">
        <f t="shared" si="72"/>
        <v/>
      </c>
      <c r="AH158" s="57" t="str">
        <f t="shared" si="64"/>
        <v/>
      </c>
      <c r="AI158" s="57" t="str">
        <f t="shared" si="73"/>
        <v/>
      </c>
      <c r="AJ158" s="57" t="str">
        <f t="shared" si="65"/>
        <v/>
      </c>
      <c r="AK158" s="57" t="str">
        <f t="shared" si="74"/>
        <v/>
      </c>
    </row>
    <row r="159" spans="1:37">
      <c r="A159" s="2" t="str">
        <f t="shared" si="66"/>
        <v/>
      </c>
      <c r="B159" s="10" t="str">
        <f t="shared" si="54"/>
        <v/>
      </c>
      <c r="C159" s="18" t="str">
        <f t="shared" si="55"/>
        <v/>
      </c>
      <c r="D159" s="4" t="str">
        <f t="shared" si="67"/>
        <v/>
      </c>
      <c r="E159" s="4" t="str">
        <f t="shared" si="56"/>
        <v/>
      </c>
      <c r="F159" s="4" t="str">
        <f t="shared" si="57"/>
        <v/>
      </c>
      <c r="G159" s="4" t="str">
        <f t="shared" si="58"/>
        <v/>
      </c>
      <c r="H159" s="4"/>
      <c r="I159" s="4"/>
      <c r="J159" s="4"/>
      <c r="K159" s="4"/>
      <c r="L159" s="4" t="str">
        <f>IF(A159="","",IF(ISERROR(VLOOKUP(A159,'pagos anticipados'!$A$2:$B$5,2,FALSE)),0,VLOOKUP(A159,'pagos anticipados'!$A$2:B157,2,FALSE)))</f>
        <v/>
      </c>
      <c r="M159" s="4" t="str">
        <f t="shared" si="50"/>
        <v/>
      </c>
      <c r="N159" s="1">
        <f t="shared" si="51"/>
        <v>0</v>
      </c>
      <c r="Q159" s="44" t="str">
        <f t="shared" si="59"/>
        <v/>
      </c>
      <c r="R159" s="44" t="str">
        <f t="shared" si="68"/>
        <v/>
      </c>
      <c r="S159" s="44" t="str">
        <f t="shared" si="60"/>
        <v/>
      </c>
      <c r="U159" s="42" t="str">
        <f t="shared" si="69"/>
        <v/>
      </c>
      <c r="V159" s="41" t="str">
        <f t="shared" si="70"/>
        <v/>
      </c>
      <c r="W159" s="41" t="str">
        <f t="shared" si="52"/>
        <v/>
      </c>
      <c r="Y159" s="35" t="str">
        <f t="shared" si="61"/>
        <v/>
      </c>
      <c r="Z159" s="34" t="str">
        <f t="shared" si="71"/>
        <v/>
      </c>
      <c r="AA159" s="34" t="str">
        <f t="shared" si="53"/>
        <v/>
      </c>
      <c r="AC159" s="36" t="str">
        <f t="shared" si="62"/>
        <v/>
      </c>
      <c r="AE159" s="37">
        <f t="shared" si="63"/>
        <v>0</v>
      </c>
      <c r="AG159" s="56" t="str">
        <f t="shared" si="72"/>
        <v/>
      </c>
      <c r="AH159" s="57" t="str">
        <f t="shared" si="64"/>
        <v/>
      </c>
      <c r="AI159" s="57" t="str">
        <f t="shared" si="73"/>
        <v/>
      </c>
      <c r="AJ159" s="57" t="str">
        <f t="shared" si="65"/>
        <v/>
      </c>
      <c r="AK159" s="57" t="str">
        <f t="shared" si="74"/>
        <v/>
      </c>
    </row>
    <row r="160" spans="1:37">
      <c r="A160" s="2" t="str">
        <f t="shared" si="66"/>
        <v/>
      </c>
      <c r="B160" s="10" t="str">
        <f t="shared" si="54"/>
        <v/>
      </c>
      <c r="C160" s="18" t="str">
        <f t="shared" si="55"/>
        <v/>
      </c>
      <c r="D160" s="4" t="str">
        <f t="shared" si="67"/>
        <v/>
      </c>
      <c r="E160" s="4" t="str">
        <f t="shared" si="56"/>
        <v/>
      </c>
      <c r="F160" s="4" t="str">
        <f t="shared" si="57"/>
        <v/>
      </c>
      <c r="G160" s="4" t="str">
        <f t="shared" si="58"/>
        <v/>
      </c>
      <c r="H160" s="4"/>
      <c r="I160" s="4"/>
      <c r="J160" s="4"/>
      <c r="K160" s="4"/>
      <c r="L160" s="4" t="str">
        <f>IF(A160="","",IF(ISERROR(VLOOKUP(A160,'pagos anticipados'!$A$2:$B$5,2,FALSE)),0,VLOOKUP(A160,'pagos anticipados'!$A$2:B158,2,FALSE)))</f>
        <v/>
      </c>
      <c r="M160" s="4" t="str">
        <f t="shared" si="50"/>
        <v/>
      </c>
      <c r="N160" s="1">
        <f t="shared" si="51"/>
        <v>0</v>
      </c>
      <c r="Q160" s="44" t="str">
        <f t="shared" si="59"/>
        <v/>
      </c>
      <c r="R160" s="44" t="str">
        <f t="shared" si="68"/>
        <v/>
      </c>
      <c r="S160" s="44" t="str">
        <f t="shared" si="60"/>
        <v/>
      </c>
      <c r="U160" s="42" t="str">
        <f t="shared" si="69"/>
        <v/>
      </c>
      <c r="V160" s="41" t="str">
        <f t="shared" si="70"/>
        <v/>
      </c>
      <c r="W160" s="41" t="str">
        <f t="shared" si="52"/>
        <v/>
      </c>
      <c r="Y160" s="35" t="str">
        <f t="shared" si="61"/>
        <v/>
      </c>
      <c r="Z160" s="34" t="str">
        <f t="shared" si="71"/>
        <v/>
      </c>
      <c r="AA160" s="34" t="str">
        <f t="shared" si="53"/>
        <v/>
      </c>
      <c r="AC160" s="36" t="str">
        <f t="shared" si="62"/>
        <v/>
      </c>
      <c r="AE160" s="37">
        <f t="shared" si="63"/>
        <v>0</v>
      </c>
      <c r="AG160" s="56" t="str">
        <f t="shared" si="72"/>
        <v/>
      </c>
      <c r="AH160" s="57" t="str">
        <f t="shared" si="64"/>
        <v/>
      </c>
      <c r="AI160" s="57" t="str">
        <f t="shared" si="73"/>
        <v/>
      </c>
      <c r="AJ160" s="57" t="str">
        <f t="shared" si="65"/>
        <v/>
      </c>
      <c r="AK160" s="57" t="str">
        <f t="shared" si="74"/>
        <v/>
      </c>
    </row>
    <row r="161" spans="1:37">
      <c r="A161" s="2" t="str">
        <f t="shared" si="66"/>
        <v/>
      </c>
      <c r="B161" s="10" t="str">
        <f t="shared" si="54"/>
        <v/>
      </c>
      <c r="C161" s="18" t="str">
        <f t="shared" si="55"/>
        <v/>
      </c>
      <c r="D161" s="4" t="str">
        <f t="shared" si="67"/>
        <v/>
      </c>
      <c r="E161" s="4" t="str">
        <f t="shared" si="56"/>
        <v/>
      </c>
      <c r="F161" s="4" t="str">
        <f t="shared" si="57"/>
        <v/>
      </c>
      <c r="G161" s="4" t="str">
        <f t="shared" si="58"/>
        <v/>
      </c>
      <c r="H161" s="4"/>
      <c r="I161" s="4"/>
      <c r="J161" s="4"/>
      <c r="K161" s="4"/>
      <c r="L161" s="4" t="str">
        <f>IF(A161="","",IF(ISERROR(VLOOKUP(A161,'pagos anticipados'!$A$2:$B$5,2,FALSE)),0,VLOOKUP(A161,'pagos anticipados'!$A$2:B159,2,FALSE)))</f>
        <v/>
      </c>
      <c r="M161" s="4" t="str">
        <f t="shared" si="50"/>
        <v/>
      </c>
      <c r="N161" s="1">
        <f t="shared" si="51"/>
        <v>0</v>
      </c>
      <c r="Q161" s="44" t="str">
        <f t="shared" si="59"/>
        <v/>
      </c>
      <c r="R161" s="44" t="str">
        <f t="shared" si="68"/>
        <v/>
      </c>
      <c r="S161" s="44" t="str">
        <f t="shared" si="60"/>
        <v/>
      </c>
      <c r="U161" s="42" t="str">
        <f t="shared" si="69"/>
        <v/>
      </c>
      <c r="V161" s="41" t="str">
        <f t="shared" si="70"/>
        <v/>
      </c>
      <c r="W161" s="41" t="str">
        <f t="shared" si="52"/>
        <v/>
      </c>
      <c r="Y161" s="35" t="str">
        <f t="shared" si="61"/>
        <v/>
      </c>
      <c r="Z161" s="34" t="str">
        <f t="shared" si="71"/>
        <v/>
      </c>
      <c r="AA161" s="34" t="str">
        <f t="shared" si="53"/>
        <v/>
      </c>
      <c r="AC161" s="36" t="str">
        <f t="shared" si="62"/>
        <v/>
      </c>
      <c r="AE161" s="37">
        <f t="shared" si="63"/>
        <v>0</v>
      </c>
      <c r="AG161" s="56" t="str">
        <f t="shared" si="72"/>
        <v/>
      </c>
      <c r="AH161" s="57" t="str">
        <f t="shared" si="64"/>
        <v/>
      </c>
      <c r="AI161" s="57" t="str">
        <f t="shared" si="73"/>
        <v/>
      </c>
      <c r="AJ161" s="57" t="str">
        <f t="shared" si="65"/>
        <v/>
      </c>
      <c r="AK161" s="57" t="str">
        <f t="shared" si="74"/>
        <v/>
      </c>
    </row>
    <row r="162" spans="1:37">
      <c r="A162" s="2" t="str">
        <f t="shared" si="66"/>
        <v/>
      </c>
      <c r="B162" s="10" t="str">
        <f t="shared" si="54"/>
        <v/>
      </c>
      <c r="C162" s="18" t="str">
        <f t="shared" si="55"/>
        <v/>
      </c>
      <c r="D162" s="4" t="str">
        <f t="shared" si="67"/>
        <v/>
      </c>
      <c r="E162" s="4" t="str">
        <f t="shared" si="56"/>
        <v/>
      </c>
      <c r="F162" s="4" t="str">
        <f t="shared" si="57"/>
        <v/>
      </c>
      <c r="G162" s="4" t="str">
        <f t="shared" si="58"/>
        <v/>
      </c>
      <c r="H162" s="4"/>
      <c r="I162" s="4"/>
      <c r="J162" s="4"/>
      <c r="K162" s="4"/>
      <c r="L162" s="4" t="str">
        <f>IF(A162="","",IF(ISERROR(VLOOKUP(A162,'pagos anticipados'!$A$2:$B$5,2,FALSE)),0,VLOOKUP(A162,'pagos anticipados'!$A$2:B160,2,FALSE)))</f>
        <v/>
      </c>
      <c r="M162" s="4" t="str">
        <f t="shared" si="50"/>
        <v/>
      </c>
      <c r="N162" s="1">
        <f t="shared" si="51"/>
        <v>0</v>
      </c>
      <c r="Q162" s="44" t="str">
        <f t="shared" si="59"/>
        <v/>
      </c>
      <c r="R162" s="44" t="str">
        <f t="shared" si="68"/>
        <v/>
      </c>
      <c r="S162" s="44" t="str">
        <f t="shared" si="60"/>
        <v/>
      </c>
      <c r="U162" s="42" t="str">
        <f t="shared" si="69"/>
        <v/>
      </c>
      <c r="V162" s="41" t="str">
        <f t="shared" si="70"/>
        <v/>
      </c>
      <c r="W162" s="41" t="str">
        <f t="shared" si="52"/>
        <v/>
      </c>
      <c r="Y162" s="35" t="str">
        <f t="shared" si="61"/>
        <v/>
      </c>
      <c r="Z162" s="34" t="str">
        <f t="shared" si="71"/>
        <v/>
      </c>
      <c r="AA162" s="34" t="str">
        <f t="shared" si="53"/>
        <v/>
      </c>
      <c r="AC162" s="36" t="str">
        <f t="shared" si="62"/>
        <v/>
      </c>
      <c r="AE162" s="37">
        <f t="shared" si="63"/>
        <v>0</v>
      </c>
      <c r="AG162" s="56" t="str">
        <f t="shared" si="72"/>
        <v/>
      </c>
      <c r="AH162" s="57" t="str">
        <f t="shared" si="64"/>
        <v/>
      </c>
      <c r="AI162" s="57" t="str">
        <f t="shared" si="73"/>
        <v/>
      </c>
      <c r="AJ162" s="57" t="str">
        <f t="shared" si="65"/>
        <v/>
      </c>
      <c r="AK162" s="57" t="str">
        <f t="shared" si="74"/>
        <v/>
      </c>
    </row>
    <row r="163" spans="1:37">
      <c r="A163" s="2" t="str">
        <f t="shared" si="66"/>
        <v/>
      </c>
      <c r="B163" s="10" t="str">
        <f t="shared" si="54"/>
        <v/>
      </c>
      <c r="C163" s="18" t="str">
        <f t="shared" si="55"/>
        <v/>
      </c>
      <c r="D163" s="4" t="str">
        <f t="shared" si="67"/>
        <v/>
      </c>
      <c r="E163" s="4" t="str">
        <f t="shared" si="56"/>
        <v/>
      </c>
      <c r="F163" s="4" t="str">
        <f t="shared" si="57"/>
        <v/>
      </c>
      <c r="G163" s="4" t="str">
        <f t="shared" si="58"/>
        <v/>
      </c>
      <c r="H163" s="4"/>
      <c r="I163" s="4"/>
      <c r="J163" s="4"/>
      <c r="K163" s="4"/>
      <c r="L163" s="4" t="str">
        <f>IF(A163="","",IF(ISERROR(VLOOKUP(A163,'pagos anticipados'!$A$2:$B$5,2,FALSE)),0,VLOOKUP(A163,'pagos anticipados'!$A$2:B161,2,FALSE)))</f>
        <v/>
      </c>
      <c r="M163" s="4" t="str">
        <f t="shared" si="50"/>
        <v/>
      </c>
      <c r="N163" s="1">
        <f t="shared" si="51"/>
        <v>0</v>
      </c>
      <c r="Q163" s="44" t="str">
        <f t="shared" si="59"/>
        <v/>
      </c>
      <c r="R163" s="44" t="str">
        <f t="shared" si="68"/>
        <v/>
      </c>
      <c r="S163" s="44" t="str">
        <f t="shared" si="60"/>
        <v/>
      </c>
      <c r="U163" s="42" t="str">
        <f t="shared" si="69"/>
        <v/>
      </c>
      <c r="V163" s="41" t="str">
        <f t="shared" si="70"/>
        <v/>
      </c>
      <c r="W163" s="41" t="str">
        <f t="shared" ref="W163:W226" si="75">IF(A163="","",IF(PAGO_FIJO&gt;R163,R163,PAGO_FIJO-V163))</f>
        <v/>
      </c>
      <c r="Y163" s="35" t="str">
        <f t="shared" si="61"/>
        <v/>
      </c>
      <c r="Z163" s="34" t="str">
        <f t="shared" si="71"/>
        <v/>
      </c>
      <c r="AA163" s="34" t="str">
        <f t="shared" si="53"/>
        <v/>
      </c>
      <c r="AC163" s="36" t="str">
        <f t="shared" si="62"/>
        <v/>
      </c>
      <c r="AE163" s="37">
        <f t="shared" si="63"/>
        <v>0</v>
      </c>
      <c r="AG163" s="56" t="str">
        <f t="shared" si="72"/>
        <v/>
      </c>
      <c r="AH163" s="57" t="str">
        <f t="shared" si="64"/>
        <v/>
      </c>
      <c r="AI163" s="57" t="str">
        <f t="shared" si="73"/>
        <v/>
      </c>
      <c r="AJ163" s="57" t="str">
        <f t="shared" si="65"/>
        <v/>
      </c>
      <c r="AK163" s="57" t="str">
        <f t="shared" si="74"/>
        <v/>
      </c>
    </row>
    <row r="164" spans="1:37">
      <c r="A164" s="2" t="str">
        <f t="shared" si="66"/>
        <v/>
      </c>
      <c r="B164" s="10" t="str">
        <f t="shared" si="54"/>
        <v/>
      </c>
      <c r="C164" s="18" t="str">
        <f t="shared" si="55"/>
        <v/>
      </c>
      <c r="D164" s="4" t="str">
        <f t="shared" si="67"/>
        <v/>
      </c>
      <c r="E164" s="4" t="str">
        <f t="shared" si="56"/>
        <v/>
      </c>
      <c r="F164" s="4" t="str">
        <f t="shared" si="57"/>
        <v/>
      </c>
      <c r="G164" s="4" t="str">
        <f t="shared" si="58"/>
        <v/>
      </c>
      <c r="H164" s="4"/>
      <c r="I164" s="4"/>
      <c r="J164" s="4"/>
      <c r="K164" s="4"/>
      <c r="L164" s="4" t="str">
        <f>IF(A164="","",IF(ISERROR(VLOOKUP(A164,'pagos anticipados'!$A$2:$B$5,2,FALSE)),0,VLOOKUP(A164,'pagos anticipados'!$A$2:B162,2,FALSE)))</f>
        <v/>
      </c>
      <c r="M164" s="4" t="str">
        <f t="shared" si="50"/>
        <v/>
      </c>
      <c r="N164" s="1">
        <f t="shared" si="51"/>
        <v>0</v>
      </c>
      <c r="Q164" s="44" t="str">
        <f t="shared" si="59"/>
        <v/>
      </c>
      <c r="R164" s="44" t="str">
        <f t="shared" si="68"/>
        <v/>
      </c>
      <c r="S164" s="44" t="str">
        <f t="shared" si="60"/>
        <v/>
      </c>
      <c r="U164" s="42" t="str">
        <f t="shared" si="69"/>
        <v/>
      </c>
      <c r="V164" s="41" t="str">
        <f t="shared" si="70"/>
        <v/>
      </c>
      <c r="W164" s="41" t="str">
        <f t="shared" si="75"/>
        <v/>
      </c>
      <c r="Y164" s="35" t="str">
        <f t="shared" si="61"/>
        <v/>
      </c>
      <c r="Z164" s="34" t="str">
        <f t="shared" si="71"/>
        <v/>
      </c>
      <c r="AA164" s="34" t="str">
        <f t="shared" si="53"/>
        <v/>
      </c>
      <c r="AC164" s="36" t="str">
        <f t="shared" si="62"/>
        <v/>
      </c>
      <c r="AE164" s="37">
        <f t="shared" si="63"/>
        <v>0</v>
      </c>
      <c r="AG164" s="56" t="str">
        <f t="shared" si="72"/>
        <v/>
      </c>
      <c r="AH164" s="57" t="str">
        <f t="shared" si="64"/>
        <v/>
      </c>
      <c r="AI164" s="57" t="str">
        <f t="shared" si="73"/>
        <v/>
      </c>
      <c r="AJ164" s="57" t="str">
        <f t="shared" si="65"/>
        <v/>
      </c>
      <c r="AK164" s="57" t="str">
        <f t="shared" si="74"/>
        <v/>
      </c>
    </row>
    <row r="165" spans="1:37">
      <c r="A165" s="2" t="str">
        <f t="shared" si="66"/>
        <v/>
      </c>
      <c r="B165" s="10" t="str">
        <f t="shared" si="54"/>
        <v/>
      </c>
      <c r="C165" s="18" t="str">
        <f t="shared" si="55"/>
        <v/>
      </c>
      <c r="D165" s="4" t="str">
        <f t="shared" si="67"/>
        <v/>
      </c>
      <c r="E165" s="4" t="str">
        <f t="shared" si="56"/>
        <v/>
      </c>
      <c r="F165" s="4" t="str">
        <f t="shared" si="57"/>
        <v/>
      </c>
      <c r="G165" s="4" t="str">
        <f t="shared" si="58"/>
        <v/>
      </c>
      <c r="H165" s="4"/>
      <c r="I165" s="4"/>
      <c r="J165" s="4"/>
      <c r="K165" s="4"/>
      <c r="L165" s="4" t="str">
        <f>IF(A165="","",IF(ISERROR(VLOOKUP(A165,'pagos anticipados'!$A$2:$B$5,2,FALSE)),0,VLOOKUP(A165,'pagos anticipados'!$A$2:B163,2,FALSE)))</f>
        <v/>
      </c>
      <c r="M165" s="4" t="str">
        <f t="shared" si="50"/>
        <v/>
      </c>
      <c r="N165" s="1">
        <f t="shared" si="51"/>
        <v>0</v>
      </c>
      <c r="Q165" s="44" t="str">
        <f t="shared" si="59"/>
        <v/>
      </c>
      <c r="R165" s="44" t="str">
        <f t="shared" si="68"/>
        <v/>
      </c>
      <c r="S165" s="44" t="str">
        <f t="shared" si="60"/>
        <v/>
      </c>
      <c r="U165" s="42" t="str">
        <f t="shared" si="69"/>
        <v/>
      </c>
      <c r="V165" s="41" t="str">
        <f t="shared" si="70"/>
        <v/>
      </c>
      <c r="W165" s="41" t="str">
        <f t="shared" si="75"/>
        <v/>
      </c>
      <c r="Y165" s="35" t="str">
        <f t="shared" si="61"/>
        <v/>
      </c>
      <c r="Z165" s="34" t="str">
        <f t="shared" si="71"/>
        <v/>
      </c>
      <c r="AA165" s="34" t="str">
        <f t="shared" si="53"/>
        <v/>
      </c>
      <c r="AC165" s="36" t="str">
        <f t="shared" si="62"/>
        <v/>
      </c>
      <c r="AE165" s="37">
        <f t="shared" si="63"/>
        <v>0</v>
      </c>
      <c r="AG165" s="56" t="str">
        <f t="shared" si="72"/>
        <v/>
      </c>
      <c r="AH165" s="57" t="str">
        <f t="shared" si="64"/>
        <v/>
      </c>
      <c r="AI165" s="57" t="str">
        <f t="shared" si="73"/>
        <v/>
      </c>
      <c r="AJ165" s="57" t="str">
        <f t="shared" si="65"/>
        <v/>
      </c>
      <c r="AK165" s="57" t="str">
        <f t="shared" si="74"/>
        <v/>
      </c>
    </row>
    <row r="166" spans="1:37">
      <c r="A166" s="2" t="str">
        <f t="shared" si="66"/>
        <v/>
      </c>
      <c r="B166" s="10" t="str">
        <f t="shared" si="54"/>
        <v/>
      </c>
      <c r="C166" s="18" t="str">
        <f t="shared" si="55"/>
        <v/>
      </c>
      <c r="D166" s="4" t="str">
        <f t="shared" si="67"/>
        <v/>
      </c>
      <c r="E166" s="4" t="str">
        <f t="shared" si="56"/>
        <v/>
      </c>
      <c r="F166" s="4" t="str">
        <f t="shared" si="57"/>
        <v/>
      </c>
      <c r="G166" s="4" t="str">
        <f t="shared" si="58"/>
        <v/>
      </c>
      <c r="H166" s="4"/>
      <c r="I166" s="4"/>
      <c r="J166" s="4"/>
      <c r="K166" s="4"/>
      <c r="L166" s="4" t="str">
        <f>IF(A166="","",IF(ISERROR(VLOOKUP(A166,'pagos anticipados'!$A$2:$B$5,2,FALSE)),0,VLOOKUP(A166,'pagos anticipados'!$A$2:B164,2,FALSE)))</f>
        <v/>
      </c>
      <c r="M166" s="4" t="str">
        <f t="shared" si="50"/>
        <v/>
      </c>
      <c r="N166" s="1">
        <f t="shared" si="51"/>
        <v>0</v>
      </c>
      <c r="Q166" s="44" t="str">
        <f t="shared" si="59"/>
        <v/>
      </c>
      <c r="R166" s="44" t="str">
        <f t="shared" si="68"/>
        <v/>
      </c>
      <c r="S166" s="44" t="str">
        <f t="shared" si="60"/>
        <v/>
      </c>
      <c r="U166" s="42" t="str">
        <f t="shared" si="69"/>
        <v/>
      </c>
      <c r="V166" s="41" t="str">
        <f t="shared" si="70"/>
        <v/>
      </c>
      <c r="W166" s="41" t="str">
        <f t="shared" si="75"/>
        <v/>
      </c>
      <c r="Y166" s="35" t="str">
        <f t="shared" si="61"/>
        <v/>
      </c>
      <c r="Z166" s="34" t="str">
        <f t="shared" si="71"/>
        <v/>
      </c>
      <c r="AA166" s="34" t="str">
        <f t="shared" si="53"/>
        <v/>
      </c>
      <c r="AC166" s="36" t="str">
        <f t="shared" si="62"/>
        <v/>
      </c>
      <c r="AE166" s="37">
        <f t="shared" si="63"/>
        <v>0</v>
      </c>
      <c r="AG166" s="56" t="str">
        <f t="shared" si="72"/>
        <v/>
      </c>
      <c r="AH166" s="57" t="str">
        <f t="shared" si="64"/>
        <v/>
      </c>
      <c r="AI166" s="57" t="str">
        <f t="shared" si="73"/>
        <v/>
      </c>
      <c r="AJ166" s="57" t="str">
        <f t="shared" si="65"/>
        <v/>
      </c>
      <c r="AK166" s="57" t="str">
        <f t="shared" si="74"/>
        <v/>
      </c>
    </row>
    <row r="167" spans="1:37">
      <c r="A167" s="2" t="str">
        <f t="shared" si="66"/>
        <v/>
      </c>
      <c r="B167" s="10" t="str">
        <f t="shared" si="54"/>
        <v/>
      </c>
      <c r="C167" s="18" t="str">
        <f t="shared" si="55"/>
        <v/>
      </c>
      <c r="D167" s="4" t="str">
        <f t="shared" si="67"/>
        <v/>
      </c>
      <c r="E167" s="4" t="str">
        <f t="shared" si="56"/>
        <v/>
      </c>
      <c r="F167" s="4" t="str">
        <f t="shared" si="57"/>
        <v/>
      </c>
      <c r="G167" s="4" t="str">
        <f t="shared" si="58"/>
        <v/>
      </c>
      <c r="H167" s="4"/>
      <c r="I167" s="4"/>
      <c r="J167" s="4"/>
      <c r="K167" s="4"/>
      <c r="L167" s="4" t="str">
        <f>IF(A167="","",IF(ISERROR(VLOOKUP(A167,'pagos anticipados'!$A$2:$B$5,2,FALSE)),0,VLOOKUP(A167,'pagos anticipados'!$A$2:B165,2,FALSE)))</f>
        <v/>
      </c>
      <c r="M167" s="4" t="str">
        <f t="shared" si="50"/>
        <v/>
      </c>
      <c r="N167" s="1">
        <f t="shared" si="51"/>
        <v>0</v>
      </c>
      <c r="Q167" s="44" t="str">
        <f t="shared" si="59"/>
        <v/>
      </c>
      <c r="R167" s="44" t="str">
        <f t="shared" si="68"/>
        <v/>
      </c>
      <c r="S167" s="44" t="str">
        <f t="shared" si="60"/>
        <v/>
      </c>
      <c r="U167" s="42" t="str">
        <f t="shared" si="69"/>
        <v/>
      </c>
      <c r="V167" s="41" t="str">
        <f t="shared" si="70"/>
        <v/>
      </c>
      <c r="W167" s="41" t="str">
        <f t="shared" si="75"/>
        <v/>
      </c>
      <c r="Y167" s="35" t="str">
        <f t="shared" si="61"/>
        <v/>
      </c>
      <c r="Z167" s="34" t="str">
        <f t="shared" si="71"/>
        <v/>
      </c>
      <c r="AA167" s="34" t="str">
        <f t="shared" si="53"/>
        <v/>
      </c>
      <c r="AC167" s="36" t="str">
        <f t="shared" si="62"/>
        <v/>
      </c>
      <c r="AE167" s="37">
        <f t="shared" si="63"/>
        <v>0</v>
      </c>
      <c r="AG167" s="56" t="str">
        <f t="shared" si="72"/>
        <v/>
      </c>
      <c r="AH167" s="57" t="str">
        <f t="shared" si="64"/>
        <v/>
      </c>
      <c r="AI167" s="57" t="str">
        <f t="shared" si="73"/>
        <v/>
      </c>
      <c r="AJ167" s="57" t="str">
        <f t="shared" si="65"/>
        <v/>
      </c>
      <c r="AK167" s="57" t="str">
        <f t="shared" si="74"/>
        <v/>
      </c>
    </row>
    <row r="168" spans="1:37">
      <c r="A168" s="2" t="str">
        <f t="shared" si="66"/>
        <v/>
      </c>
      <c r="B168" s="10" t="str">
        <f t="shared" si="54"/>
        <v/>
      </c>
      <c r="C168" s="18" t="str">
        <f t="shared" si="55"/>
        <v/>
      </c>
      <c r="D168" s="4" t="str">
        <f t="shared" si="67"/>
        <v/>
      </c>
      <c r="E168" s="4" t="str">
        <f t="shared" si="56"/>
        <v/>
      </c>
      <c r="F168" s="4" t="str">
        <f t="shared" si="57"/>
        <v/>
      </c>
      <c r="G168" s="4" t="str">
        <f t="shared" si="58"/>
        <v/>
      </c>
      <c r="H168" s="4"/>
      <c r="I168" s="4"/>
      <c r="J168" s="4"/>
      <c r="K168" s="4"/>
      <c r="L168" s="4" t="str">
        <f>IF(A168="","",IF(ISERROR(VLOOKUP(A168,'pagos anticipados'!$A$2:$B$5,2,FALSE)),0,VLOOKUP(A168,'pagos anticipados'!$A$2:B166,2,FALSE)))</f>
        <v/>
      </c>
      <c r="M168" s="4" t="str">
        <f t="shared" si="50"/>
        <v/>
      </c>
      <c r="N168" s="1">
        <f t="shared" si="51"/>
        <v>0</v>
      </c>
      <c r="Q168" s="44" t="str">
        <f t="shared" si="59"/>
        <v/>
      </c>
      <c r="R168" s="44" t="str">
        <f t="shared" si="68"/>
        <v/>
      </c>
      <c r="S168" s="44" t="str">
        <f t="shared" si="60"/>
        <v/>
      </c>
      <c r="U168" s="42" t="str">
        <f t="shared" si="69"/>
        <v/>
      </c>
      <c r="V168" s="41" t="str">
        <f t="shared" si="70"/>
        <v/>
      </c>
      <c r="W168" s="41" t="str">
        <f t="shared" si="75"/>
        <v/>
      </c>
      <c r="Y168" s="35" t="str">
        <f t="shared" si="61"/>
        <v/>
      </c>
      <c r="Z168" s="34" t="str">
        <f t="shared" si="71"/>
        <v/>
      </c>
      <c r="AA168" s="34" t="str">
        <f t="shared" si="53"/>
        <v/>
      </c>
      <c r="AC168" s="36" t="str">
        <f t="shared" si="62"/>
        <v/>
      </c>
      <c r="AE168" s="37">
        <f t="shared" si="63"/>
        <v>0</v>
      </c>
      <c r="AG168" s="56" t="str">
        <f t="shared" si="72"/>
        <v/>
      </c>
      <c r="AH168" s="57" t="str">
        <f t="shared" si="64"/>
        <v/>
      </c>
      <c r="AI168" s="57" t="str">
        <f t="shared" si="73"/>
        <v/>
      </c>
      <c r="AJ168" s="57" t="str">
        <f t="shared" si="65"/>
        <v/>
      </c>
      <c r="AK168" s="57" t="str">
        <f t="shared" si="74"/>
        <v/>
      </c>
    </row>
    <row r="169" spans="1:37">
      <c r="A169" s="2" t="str">
        <f t="shared" si="66"/>
        <v/>
      </c>
      <c r="B169" s="10" t="str">
        <f t="shared" si="54"/>
        <v/>
      </c>
      <c r="C169" s="18" t="str">
        <f t="shared" si="55"/>
        <v/>
      </c>
      <c r="D169" s="4" t="str">
        <f t="shared" si="67"/>
        <v/>
      </c>
      <c r="E169" s="4" t="str">
        <f t="shared" si="56"/>
        <v/>
      </c>
      <c r="F169" s="4" t="str">
        <f t="shared" si="57"/>
        <v/>
      </c>
      <c r="G169" s="4" t="str">
        <f t="shared" si="58"/>
        <v/>
      </c>
      <c r="H169" s="4"/>
      <c r="I169" s="4"/>
      <c r="J169" s="4"/>
      <c r="K169" s="4"/>
      <c r="L169" s="4" t="str">
        <f>IF(A169="","",IF(ISERROR(VLOOKUP(A169,'pagos anticipados'!$A$2:$B$5,2,FALSE)),0,VLOOKUP(A169,'pagos anticipados'!$A$2:B167,2,FALSE)))</f>
        <v/>
      </c>
      <c r="M169" s="4" t="str">
        <f t="shared" si="50"/>
        <v/>
      </c>
      <c r="N169" s="1">
        <f t="shared" si="51"/>
        <v>0</v>
      </c>
      <c r="Q169" s="44" t="str">
        <f t="shared" si="59"/>
        <v/>
      </c>
      <c r="R169" s="44" t="str">
        <f t="shared" si="68"/>
        <v/>
      </c>
      <c r="S169" s="44" t="str">
        <f t="shared" si="60"/>
        <v/>
      </c>
      <c r="U169" s="42" t="str">
        <f t="shared" si="69"/>
        <v/>
      </c>
      <c r="V169" s="41" t="str">
        <f t="shared" si="70"/>
        <v/>
      </c>
      <c r="W169" s="41" t="str">
        <f t="shared" si="75"/>
        <v/>
      </c>
      <c r="Y169" s="35" t="str">
        <f t="shared" si="61"/>
        <v/>
      </c>
      <c r="Z169" s="34" t="str">
        <f t="shared" si="71"/>
        <v/>
      </c>
      <c r="AA169" s="34" t="str">
        <f t="shared" si="53"/>
        <v/>
      </c>
      <c r="AC169" s="36" t="str">
        <f t="shared" si="62"/>
        <v/>
      </c>
      <c r="AE169" s="37">
        <f t="shared" si="63"/>
        <v>0</v>
      </c>
      <c r="AG169" s="56" t="str">
        <f t="shared" si="72"/>
        <v/>
      </c>
      <c r="AH169" s="57" t="str">
        <f t="shared" si="64"/>
        <v/>
      </c>
      <c r="AI169" s="57" t="str">
        <f t="shared" si="73"/>
        <v/>
      </c>
      <c r="AJ169" s="57" t="str">
        <f t="shared" si="65"/>
        <v/>
      </c>
      <c r="AK169" s="57" t="str">
        <f t="shared" si="74"/>
        <v/>
      </c>
    </row>
    <row r="170" spans="1:37">
      <c r="A170" s="2" t="str">
        <f t="shared" si="66"/>
        <v/>
      </c>
      <c r="B170" s="10" t="str">
        <f t="shared" si="54"/>
        <v/>
      </c>
      <c r="C170" s="18" t="str">
        <f t="shared" si="55"/>
        <v/>
      </c>
      <c r="D170" s="4" t="str">
        <f t="shared" si="67"/>
        <v/>
      </c>
      <c r="E170" s="4" t="str">
        <f t="shared" si="56"/>
        <v/>
      </c>
      <c r="F170" s="4" t="str">
        <f t="shared" si="57"/>
        <v/>
      </c>
      <c r="G170" s="4" t="str">
        <f t="shared" si="58"/>
        <v/>
      </c>
      <c r="H170" s="4"/>
      <c r="I170" s="4"/>
      <c r="J170" s="4"/>
      <c r="K170" s="4"/>
      <c r="L170" s="4" t="str">
        <f>IF(A170="","",IF(ISERROR(VLOOKUP(A170,'pagos anticipados'!$A$2:$B$5,2,FALSE)),0,VLOOKUP(A170,'pagos anticipados'!$A$2:B168,2,FALSE)))</f>
        <v/>
      </c>
      <c r="M170" s="4" t="str">
        <f t="shared" si="50"/>
        <v/>
      </c>
      <c r="N170" s="1">
        <f t="shared" si="51"/>
        <v>0</v>
      </c>
      <c r="Q170" s="44" t="str">
        <f t="shared" si="59"/>
        <v/>
      </c>
      <c r="R170" s="44" t="str">
        <f t="shared" si="68"/>
        <v/>
      </c>
      <c r="S170" s="44" t="str">
        <f t="shared" si="60"/>
        <v/>
      </c>
      <c r="U170" s="42" t="str">
        <f t="shared" si="69"/>
        <v/>
      </c>
      <c r="V170" s="41" t="str">
        <f t="shared" si="70"/>
        <v/>
      </c>
      <c r="W170" s="41" t="str">
        <f t="shared" si="75"/>
        <v/>
      </c>
      <c r="Y170" s="35" t="str">
        <f t="shared" si="61"/>
        <v/>
      </c>
      <c r="Z170" s="34" t="str">
        <f t="shared" si="71"/>
        <v/>
      </c>
      <c r="AA170" s="34" t="str">
        <f t="shared" si="53"/>
        <v/>
      </c>
      <c r="AC170" s="36" t="str">
        <f t="shared" si="62"/>
        <v/>
      </c>
      <c r="AE170" s="37">
        <f t="shared" si="63"/>
        <v>0</v>
      </c>
      <c r="AG170" s="56" t="str">
        <f t="shared" si="72"/>
        <v/>
      </c>
      <c r="AH170" s="57" t="str">
        <f t="shared" si="64"/>
        <v/>
      </c>
      <c r="AI170" s="57" t="str">
        <f t="shared" si="73"/>
        <v/>
      </c>
      <c r="AJ170" s="57" t="str">
        <f t="shared" si="65"/>
        <v/>
      </c>
      <c r="AK170" s="57" t="str">
        <f t="shared" si="74"/>
        <v/>
      </c>
    </row>
    <row r="171" spans="1:37">
      <c r="A171" s="2" t="str">
        <f t="shared" si="66"/>
        <v/>
      </c>
      <c r="B171" s="10" t="str">
        <f t="shared" si="54"/>
        <v/>
      </c>
      <c r="C171" s="18" t="str">
        <f t="shared" si="55"/>
        <v/>
      </c>
      <c r="D171" s="4" t="str">
        <f t="shared" si="67"/>
        <v/>
      </c>
      <c r="E171" s="4" t="str">
        <f t="shared" si="56"/>
        <v/>
      </c>
      <c r="F171" s="4" t="str">
        <f t="shared" si="57"/>
        <v/>
      </c>
      <c r="G171" s="4" t="str">
        <f t="shared" si="58"/>
        <v/>
      </c>
      <c r="H171" s="4"/>
      <c r="I171" s="4"/>
      <c r="J171" s="4"/>
      <c r="K171" s="4"/>
      <c r="L171" s="4" t="str">
        <f>IF(A171="","",IF(ISERROR(VLOOKUP(A171,'pagos anticipados'!$A$2:$B$5,2,FALSE)),0,VLOOKUP(A171,'pagos anticipados'!$A$2:B169,2,FALSE)))</f>
        <v/>
      </c>
      <c r="M171" s="4" t="str">
        <f t="shared" si="50"/>
        <v/>
      </c>
      <c r="N171" s="1">
        <f t="shared" si="51"/>
        <v>0</v>
      </c>
      <c r="Q171" s="44" t="str">
        <f t="shared" si="59"/>
        <v/>
      </c>
      <c r="R171" s="44" t="str">
        <f t="shared" si="68"/>
        <v/>
      </c>
      <c r="S171" s="44" t="str">
        <f t="shared" si="60"/>
        <v/>
      </c>
      <c r="U171" s="42" t="str">
        <f t="shared" si="69"/>
        <v/>
      </c>
      <c r="V171" s="41" t="str">
        <f t="shared" si="70"/>
        <v/>
      </c>
      <c r="W171" s="41" t="str">
        <f t="shared" si="75"/>
        <v/>
      </c>
      <c r="Y171" s="35" t="str">
        <f t="shared" si="61"/>
        <v/>
      </c>
      <c r="Z171" s="34" t="str">
        <f t="shared" si="71"/>
        <v/>
      </c>
      <c r="AA171" s="34" t="str">
        <f t="shared" si="53"/>
        <v/>
      </c>
      <c r="AC171" s="36" t="str">
        <f t="shared" si="62"/>
        <v/>
      </c>
      <c r="AE171" s="37">
        <f t="shared" si="63"/>
        <v>0</v>
      </c>
      <c r="AG171" s="56" t="str">
        <f t="shared" si="72"/>
        <v/>
      </c>
      <c r="AH171" s="57" t="str">
        <f t="shared" si="64"/>
        <v/>
      </c>
      <c r="AI171" s="57" t="str">
        <f t="shared" si="73"/>
        <v/>
      </c>
      <c r="AJ171" s="57" t="str">
        <f t="shared" si="65"/>
        <v/>
      </c>
      <c r="AK171" s="57" t="str">
        <f t="shared" si="74"/>
        <v/>
      </c>
    </row>
    <row r="172" spans="1:37">
      <c r="A172" s="2" t="str">
        <f t="shared" si="66"/>
        <v/>
      </c>
      <c r="B172" s="10" t="str">
        <f t="shared" si="54"/>
        <v/>
      </c>
      <c r="C172" s="18" t="str">
        <f t="shared" si="55"/>
        <v/>
      </c>
      <c r="D172" s="4" t="str">
        <f t="shared" si="67"/>
        <v/>
      </c>
      <c r="E172" s="4" t="str">
        <f t="shared" si="56"/>
        <v/>
      </c>
      <c r="F172" s="4" t="str">
        <f t="shared" si="57"/>
        <v/>
      </c>
      <c r="G172" s="4" t="str">
        <f t="shared" si="58"/>
        <v/>
      </c>
      <c r="H172" s="4"/>
      <c r="I172" s="4"/>
      <c r="J172" s="4"/>
      <c r="K172" s="4"/>
      <c r="L172" s="4" t="str">
        <f>IF(A172="","",IF(ISERROR(VLOOKUP(A172,'pagos anticipados'!$A$2:$B$5,2,FALSE)),0,VLOOKUP(A172,'pagos anticipados'!$A$2:B170,2,FALSE)))</f>
        <v/>
      </c>
      <c r="M172" s="4" t="str">
        <f t="shared" si="50"/>
        <v/>
      </c>
      <c r="N172" s="1">
        <f t="shared" si="51"/>
        <v>0</v>
      </c>
      <c r="Q172" s="44" t="str">
        <f t="shared" si="59"/>
        <v/>
      </c>
      <c r="R172" s="44" t="str">
        <f t="shared" si="68"/>
        <v/>
      </c>
      <c r="S172" s="44" t="str">
        <f t="shared" si="60"/>
        <v/>
      </c>
      <c r="U172" s="42" t="str">
        <f t="shared" si="69"/>
        <v/>
      </c>
      <c r="V172" s="41" t="str">
        <f t="shared" si="70"/>
        <v/>
      </c>
      <c r="W172" s="41" t="str">
        <f t="shared" si="75"/>
        <v/>
      </c>
      <c r="Y172" s="35" t="str">
        <f t="shared" si="61"/>
        <v/>
      </c>
      <c r="Z172" s="34" t="str">
        <f t="shared" si="71"/>
        <v/>
      </c>
      <c r="AA172" s="34" t="str">
        <f t="shared" si="53"/>
        <v/>
      </c>
      <c r="AC172" s="36" t="str">
        <f t="shared" si="62"/>
        <v/>
      </c>
      <c r="AE172" s="37">
        <f t="shared" si="63"/>
        <v>0</v>
      </c>
      <c r="AG172" s="56" t="str">
        <f t="shared" si="72"/>
        <v/>
      </c>
      <c r="AH172" s="57" t="str">
        <f t="shared" si="64"/>
        <v/>
      </c>
      <c r="AI172" s="57" t="str">
        <f t="shared" si="73"/>
        <v/>
      </c>
      <c r="AJ172" s="57" t="str">
        <f t="shared" si="65"/>
        <v/>
      </c>
      <c r="AK172" s="57" t="str">
        <f t="shared" si="74"/>
        <v/>
      </c>
    </row>
    <row r="173" spans="1:37">
      <c r="A173" s="2" t="str">
        <f t="shared" si="66"/>
        <v/>
      </c>
      <c r="B173" s="10" t="str">
        <f t="shared" si="54"/>
        <v/>
      </c>
      <c r="C173" s="18" t="str">
        <f t="shared" si="55"/>
        <v/>
      </c>
      <c r="D173" s="4" t="str">
        <f t="shared" si="67"/>
        <v/>
      </c>
      <c r="E173" s="4" t="str">
        <f t="shared" si="56"/>
        <v/>
      </c>
      <c r="F173" s="4" t="str">
        <f t="shared" si="57"/>
        <v/>
      </c>
      <c r="G173" s="4" t="str">
        <f t="shared" si="58"/>
        <v/>
      </c>
      <c r="H173" s="4"/>
      <c r="I173" s="4"/>
      <c r="J173" s="4"/>
      <c r="K173" s="4"/>
      <c r="L173" s="4" t="str">
        <f>IF(A173="","",IF(ISERROR(VLOOKUP(A173,'pagos anticipados'!$A$2:$B$5,2,FALSE)),0,VLOOKUP(A173,'pagos anticipados'!$A$2:B171,2,FALSE)))</f>
        <v/>
      </c>
      <c r="M173" s="4" t="str">
        <f t="shared" si="50"/>
        <v/>
      </c>
      <c r="N173" s="1">
        <f t="shared" si="51"/>
        <v>0</v>
      </c>
      <c r="Q173" s="44" t="str">
        <f t="shared" si="59"/>
        <v/>
      </c>
      <c r="R173" s="44" t="str">
        <f t="shared" si="68"/>
        <v/>
      </c>
      <c r="S173" s="44" t="str">
        <f t="shared" si="60"/>
        <v/>
      </c>
      <c r="U173" s="42" t="str">
        <f t="shared" si="69"/>
        <v/>
      </c>
      <c r="V173" s="41" t="str">
        <f t="shared" si="70"/>
        <v/>
      </c>
      <c r="W173" s="41" t="str">
        <f t="shared" si="75"/>
        <v/>
      </c>
      <c r="Y173" s="35" t="str">
        <f t="shared" si="61"/>
        <v/>
      </c>
      <c r="Z173" s="34" t="str">
        <f t="shared" si="71"/>
        <v/>
      </c>
      <c r="AA173" s="34" t="str">
        <f t="shared" si="53"/>
        <v/>
      </c>
      <c r="AC173" s="36" t="str">
        <f t="shared" si="62"/>
        <v/>
      </c>
      <c r="AE173" s="37">
        <f t="shared" si="63"/>
        <v>0</v>
      </c>
      <c r="AG173" s="56" t="str">
        <f t="shared" si="72"/>
        <v/>
      </c>
      <c r="AH173" s="57" t="str">
        <f t="shared" si="64"/>
        <v/>
      </c>
      <c r="AI173" s="57" t="str">
        <f t="shared" si="73"/>
        <v/>
      </c>
      <c r="AJ173" s="57" t="str">
        <f t="shared" si="65"/>
        <v/>
      </c>
      <c r="AK173" s="57" t="str">
        <f t="shared" si="74"/>
        <v/>
      </c>
    </row>
    <row r="174" spans="1:37">
      <c r="A174" s="2" t="str">
        <f t="shared" si="66"/>
        <v/>
      </c>
      <c r="B174" s="10" t="str">
        <f t="shared" si="54"/>
        <v/>
      </c>
      <c r="C174" s="18" t="str">
        <f t="shared" si="55"/>
        <v/>
      </c>
      <c r="D174" s="4" t="str">
        <f t="shared" si="67"/>
        <v/>
      </c>
      <c r="E174" s="4" t="str">
        <f t="shared" si="56"/>
        <v/>
      </c>
      <c r="F174" s="4" t="str">
        <f t="shared" si="57"/>
        <v/>
      </c>
      <c r="G174" s="4" t="str">
        <f t="shared" si="58"/>
        <v/>
      </c>
      <c r="H174" s="4"/>
      <c r="I174" s="4"/>
      <c r="J174" s="4"/>
      <c r="K174" s="4"/>
      <c r="L174" s="4" t="str">
        <f>IF(A174="","",IF(ISERROR(VLOOKUP(A174,'pagos anticipados'!$A$2:$B$5,2,FALSE)),0,VLOOKUP(A174,'pagos anticipados'!$A$2:B172,2,FALSE)))</f>
        <v/>
      </c>
      <c r="M174" s="4" t="str">
        <f t="shared" si="50"/>
        <v/>
      </c>
      <c r="N174" s="1">
        <f t="shared" si="51"/>
        <v>0</v>
      </c>
      <c r="Q174" s="44" t="str">
        <f t="shared" si="59"/>
        <v/>
      </c>
      <c r="R174" s="44" t="str">
        <f t="shared" si="68"/>
        <v/>
      </c>
      <c r="S174" s="44" t="str">
        <f t="shared" si="60"/>
        <v/>
      </c>
      <c r="U174" s="42" t="str">
        <f t="shared" si="69"/>
        <v/>
      </c>
      <c r="V174" s="41" t="str">
        <f t="shared" si="70"/>
        <v/>
      </c>
      <c r="W174" s="41" t="str">
        <f t="shared" si="75"/>
        <v/>
      </c>
      <c r="Y174" s="35" t="str">
        <f t="shared" si="61"/>
        <v/>
      </c>
      <c r="Z174" s="34" t="str">
        <f t="shared" si="71"/>
        <v/>
      </c>
      <c r="AA174" s="34" t="str">
        <f t="shared" si="53"/>
        <v/>
      </c>
      <c r="AC174" s="36" t="str">
        <f t="shared" si="62"/>
        <v/>
      </c>
      <c r="AE174" s="37">
        <f t="shared" si="63"/>
        <v>0</v>
      </c>
      <c r="AG174" s="56" t="str">
        <f t="shared" si="72"/>
        <v/>
      </c>
      <c r="AH174" s="57" t="str">
        <f t="shared" si="64"/>
        <v/>
      </c>
      <c r="AI174" s="57" t="str">
        <f t="shared" si="73"/>
        <v/>
      </c>
      <c r="AJ174" s="57" t="str">
        <f t="shared" si="65"/>
        <v/>
      </c>
      <c r="AK174" s="57" t="str">
        <f t="shared" si="74"/>
        <v/>
      </c>
    </row>
    <row r="175" spans="1:37">
      <c r="A175" s="2" t="str">
        <f t="shared" si="66"/>
        <v/>
      </c>
      <c r="B175" s="10" t="str">
        <f t="shared" si="54"/>
        <v/>
      </c>
      <c r="C175" s="18" t="str">
        <f t="shared" si="55"/>
        <v/>
      </c>
      <c r="D175" s="4" t="str">
        <f t="shared" si="67"/>
        <v/>
      </c>
      <c r="E175" s="4" t="str">
        <f t="shared" si="56"/>
        <v/>
      </c>
      <c r="F175" s="4" t="str">
        <f t="shared" si="57"/>
        <v/>
      </c>
      <c r="G175" s="4" t="str">
        <f t="shared" si="58"/>
        <v/>
      </c>
      <c r="H175" s="4"/>
      <c r="I175" s="4"/>
      <c r="J175" s="4"/>
      <c r="K175" s="4"/>
      <c r="L175" s="4" t="str">
        <f>IF(A175="","",IF(ISERROR(VLOOKUP(A175,'pagos anticipados'!$A$2:$B$5,2,FALSE)),0,VLOOKUP(A175,'pagos anticipados'!$A$2:B173,2,FALSE)))</f>
        <v/>
      </c>
      <c r="M175" s="4" t="str">
        <f t="shared" si="50"/>
        <v/>
      </c>
      <c r="N175" s="1">
        <f t="shared" si="51"/>
        <v>0</v>
      </c>
      <c r="Q175" s="44" t="str">
        <f t="shared" si="59"/>
        <v/>
      </c>
      <c r="R175" s="44" t="str">
        <f t="shared" si="68"/>
        <v/>
      </c>
      <c r="S175" s="44" t="str">
        <f t="shared" si="60"/>
        <v/>
      </c>
      <c r="U175" s="42" t="str">
        <f t="shared" si="69"/>
        <v/>
      </c>
      <c r="V175" s="41" t="str">
        <f t="shared" si="70"/>
        <v/>
      </c>
      <c r="W175" s="41" t="str">
        <f t="shared" si="75"/>
        <v/>
      </c>
      <c r="Y175" s="35" t="str">
        <f t="shared" si="61"/>
        <v/>
      </c>
      <c r="Z175" s="34" t="str">
        <f t="shared" si="71"/>
        <v/>
      </c>
      <c r="AA175" s="34" t="str">
        <f t="shared" si="53"/>
        <v/>
      </c>
      <c r="AC175" s="36" t="str">
        <f t="shared" si="62"/>
        <v/>
      </c>
      <c r="AE175" s="37">
        <f t="shared" si="63"/>
        <v>0</v>
      </c>
      <c r="AG175" s="56" t="str">
        <f t="shared" si="72"/>
        <v/>
      </c>
      <c r="AH175" s="57" t="str">
        <f t="shared" si="64"/>
        <v/>
      </c>
      <c r="AI175" s="57" t="str">
        <f t="shared" si="73"/>
        <v/>
      </c>
      <c r="AJ175" s="57" t="str">
        <f t="shared" si="65"/>
        <v/>
      </c>
      <c r="AK175" s="57" t="str">
        <f t="shared" si="74"/>
        <v/>
      </c>
    </row>
    <row r="176" spans="1:37">
      <c r="A176" s="2" t="str">
        <f t="shared" si="66"/>
        <v/>
      </c>
      <c r="B176" s="10" t="str">
        <f t="shared" si="54"/>
        <v/>
      </c>
      <c r="C176" s="18" t="str">
        <f t="shared" si="55"/>
        <v/>
      </c>
      <c r="D176" s="4" t="str">
        <f t="shared" si="67"/>
        <v/>
      </c>
      <c r="E176" s="4" t="str">
        <f t="shared" si="56"/>
        <v/>
      </c>
      <c r="F176" s="4" t="str">
        <f t="shared" si="57"/>
        <v/>
      </c>
      <c r="G176" s="4" t="str">
        <f t="shared" si="58"/>
        <v/>
      </c>
      <c r="H176" s="4"/>
      <c r="I176" s="4"/>
      <c r="J176" s="4"/>
      <c r="K176" s="4"/>
      <c r="L176" s="4" t="str">
        <f>IF(A176="","",IF(ISERROR(VLOOKUP(A176,'pagos anticipados'!$A$2:$B$5,2,FALSE)),0,VLOOKUP(A176,'pagos anticipados'!$A$2:B174,2,FALSE)))</f>
        <v/>
      </c>
      <c r="M176" s="4" t="str">
        <f t="shared" si="50"/>
        <v/>
      </c>
      <c r="N176" s="1">
        <f t="shared" si="51"/>
        <v>0</v>
      </c>
      <c r="Q176" s="44" t="str">
        <f t="shared" si="59"/>
        <v/>
      </c>
      <c r="R176" s="44" t="str">
        <f t="shared" si="68"/>
        <v/>
      </c>
      <c r="S176" s="44" t="str">
        <f t="shared" si="60"/>
        <v/>
      </c>
      <c r="U176" s="42" t="str">
        <f t="shared" si="69"/>
        <v/>
      </c>
      <c r="V176" s="41" t="str">
        <f t="shared" si="70"/>
        <v/>
      </c>
      <c r="W176" s="41" t="str">
        <f t="shared" si="75"/>
        <v/>
      </c>
      <c r="Y176" s="35" t="str">
        <f t="shared" si="61"/>
        <v/>
      </c>
      <c r="Z176" s="34" t="str">
        <f t="shared" si="71"/>
        <v/>
      </c>
      <c r="AA176" s="34" t="str">
        <f t="shared" si="53"/>
        <v/>
      </c>
      <c r="AC176" s="36" t="str">
        <f t="shared" si="62"/>
        <v/>
      </c>
      <c r="AE176" s="37">
        <f t="shared" si="63"/>
        <v>0</v>
      </c>
      <c r="AG176" s="56" t="str">
        <f t="shared" si="72"/>
        <v/>
      </c>
      <c r="AH176" s="57" t="str">
        <f t="shared" si="64"/>
        <v/>
      </c>
      <c r="AI176" s="57" t="str">
        <f t="shared" si="73"/>
        <v/>
      </c>
      <c r="AJ176" s="57" t="str">
        <f t="shared" si="65"/>
        <v/>
      </c>
      <c r="AK176" s="57" t="str">
        <f t="shared" si="74"/>
        <v/>
      </c>
    </row>
    <row r="177" spans="1:37">
      <c r="A177" s="2" t="str">
        <f t="shared" si="66"/>
        <v/>
      </c>
      <c r="B177" s="10" t="str">
        <f t="shared" si="54"/>
        <v/>
      </c>
      <c r="C177" s="18" t="str">
        <f t="shared" si="55"/>
        <v/>
      </c>
      <c r="D177" s="4" t="str">
        <f t="shared" si="67"/>
        <v/>
      </c>
      <c r="E177" s="4" t="str">
        <f t="shared" si="56"/>
        <v/>
      </c>
      <c r="F177" s="4" t="str">
        <f t="shared" si="57"/>
        <v/>
      </c>
      <c r="G177" s="4" t="str">
        <f t="shared" si="58"/>
        <v/>
      </c>
      <c r="H177" s="4"/>
      <c r="I177" s="4"/>
      <c r="J177" s="4"/>
      <c r="K177" s="4"/>
      <c r="L177" s="4" t="str">
        <f>IF(A177="","",IF(ISERROR(VLOOKUP(A177,'pagos anticipados'!$A$2:$B$5,2,FALSE)),0,VLOOKUP(A177,'pagos anticipados'!$A$2:B175,2,FALSE)))</f>
        <v/>
      </c>
      <c r="M177" s="4" t="str">
        <f t="shared" si="50"/>
        <v/>
      </c>
      <c r="N177" s="1">
        <f t="shared" si="51"/>
        <v>0</v>
      </c>
      <c r="Q177" s="44" t="str">
        <f t="shared" si="59"/>
        <v/>
      </c>
      <c r="R177" s="44" t="str">
        <f t="shared" si="68"/>
        <v/>
      </c>
      <c r="S177" s="44" t="str">
        <f t="shared" si="60"/>
        <v/>
      </c>
      <c r="U177" s="42" t="str">
        <f t="shared" si="69"/>
        <v/>
      </c>
      <c r="V177" s="41" t="str">
        <f t="shared" si="70"/>
        <v/>
      </c>
      <c r="W177" s="41" t="str">
        <f t="shared" si="75"/>
        <v/>
      </c>
      <c r="Y177" s="35" t="str">
        <f t="shared" si="61"/>
        <v/>
      </c>
      <c r="Z177" s="34" t="str">
        <f t="shared" si="71"/>
        <v/>
      </c>
      <c r="AA177" s="34" t="str">
        <f t="shared" si="53"/>
        <v/>
      </c>
      <c r="AC177" s="36" t="str">
        <f t="shared" si="62"/>
        <v/>
      </c>
      <c r="AE177" s="37">
        <f t="shared" si="63"/>
        <v>0</v>
      </c>
      <c r="AG177" s="56" t="str">
        <f t="shared" si="72"/>
        <v/>
      </c>
      <c r="AH177" s="57" t="str">
        <f t="shared" si="64"/>
        <v/>
      </c>
      <c r="AI177" s="57" t="str">
        <f t="shared" si="73"/>
        <v/>
      </c>
      <c r="AJ177" s="57" t="str">
        <f t="shared" si="65"/>
        <v/>
      </c>
      <c r="AK177" s="57" t="str">
        <f t="shared" si="74"/>
        <v/>
      </c>
    </row>
    <row r="178" spans="1:37">
      <c r="A178" s="2" t="str">
        <f t="shared" si="66"/>
        <v/>
      </c>
      <c r="B178" s="10" t="str">
        <f t="shared" si="54"/>
        <v/>
      </c>
      <c r="C178" s="18" t="str">
        <f t="shared" si="55"/>
        <v/>
      </c>
      <c r="D178" s="4" t="str">
        <f t="shared" si="67"/>
        <v/>
      </c>
      <c r="E178" s="4" t="str">
        <f t="shared" si="56"/>
        <v/>
      </c>
      <c r="F178" s="4" t="str">
        <f t="shared" si="57"/>
        <v/>
      </c>
      <c r="G178" s="4" t="str">
        <f t="shared" si="58"/>
        <v/>
      </c>
      <c r="H178" s="4"/>
      <c r="I178" s="4"/>
      <c r="J178" s="4"/>
      <c r="K178" s="4"/>
      <c r="L178" s="4" t="str">
        <f>IF(A178="","",IF(ISERROR(VLOOKUP(A178,'pagos anticipados'!$A$2:$B$5,2,FALSE)),0,VLOOKUP(A178,'pagos anticipados'!$A$2:B176,2,FALSE)))</f>
        <v/>
      </c>
      <c r="M178" s="4" t="str">
        <f t="shared" si="50"/>
        <v/>
      </c>
      <c r="N178" s="1">
        <f t="shared" si="51"/>
        <v>0</v>
      </c>
      <c r="Q178" s="44" t="str">
        <f t="shared" si="59"/>
        <v/>
      </c>
      <c r="R178" s="44" t="str">
        <f t="shared" si="68"/>
        <v/>
      </c>
      <c r="S178" s="44" t="str">
        <f t="shared" si="60"/>
        <v/>
      </c>
      <c r="U178" s="42" t="str">
        <f t="shared" si="69"/>
        <v/>
      </c>
      <c r="V178" s="41" t="str">
        <f t="shared" si="70"/>
        <v/>
      </c>
      <c r="W178" s="41" t="str">
        <f t="shared" si="75"/>
        <v/>
      </c>
      <c r="Y178" s="35" t="str">
        <f t="shared" si="61"/>
        <v/>
      </c>
      <c r="Z178" s="34" t="str">
        <f t="shared" si="71"/>
        <v/>
      </c>
      <c r="AA178" s="34" t="str">
        <f t="shared" si="53"/>
        <v/>
      </c>
      <c r="AC178" s="36" t="str">
        <f t="shared" si="62"/>
        <v/>
      </c>
      <c r="AE178" s="37">
        <f t="shared" si="63"/>
        <v>0</v>
      </c>
      <c r="AG178" s="56" t="str">
        <f t="shared" si="72"/>
        <v/>
      </c>
      <c r="AH178" s="57" t="str">
        <f t="shared" si="64"/>
        <v/>
      </c>
      <c r="AI178" s="57" t="str">
        <f t="shared" si="73"/>
        <v/>
      </c>
      <c r="AJ178" s="57" t="str">
        <f t="shared" si="65"/>
        <v/>
      </c>
      <c r="AK178" s="57" t="str">
        <f t="shared" si="74"/>
        <v/>
      </c>
    </row>
    <row r="179" spans="1:37">
      <c r="A179" s="2" t="str">
        <f t="shared" si="66"/>
        <v/>
      </c>
      <c r="B179" s="10" t="str">
        <f t="shared" si="54"/>
        <v/>
      </c>
      <c r="C179" s="18" t="str">
        <f t="shared" si="55"/>
        <v/>
      </c>
      <c r="D179" s="4" t="str">
        <f t="shared" si="67"/>
        <v/>
      </c>
      <c r="E179" s="4" t="str">
        <f t="shared" si="56"/>
        <v/>
      </c>
      <c r="F179" s="4" t="str">
        <f t="shared" si="57"/>
        <v/>
      </c>
      <c r="G179" s="4" t="str">
        <f t="shared" si="58"/>
        <v/>
      </c>
      <c r="H179" s="4"/>
      <c r="I179" s="4"/>
      <c r="J179" s="4"/>
      <c r="K179" s="4"/>
      <c r="L179" s="4" t="str">
        <f>IF(A179="","",IF(ISERROR(VLOOKUP(A179,'pagos anticipados'!$A$2:$B$5,2,FALSE)),0,VLOOKUP(A179,'pagos anticipados'!$A$2:B177,2,FALSE)))</f>
        <v/>
      </c>
      <c r="M179" s="4" t="str">
        <f t="shared" si="50"/>
        <v/>
      </c>
      <c r="N179" s="1">
        <f t="shared" si="51"/>
        <v>0</v>
      </c>
      <c r="Q179" s="44" t="str">
        <f t="shared" si="59"/>
        <v/>
      </c>
      <c r="R179" s="44" t="str">
        <f t="shared" si="68"/>
        <v/>
      </c>
      <c r="S179" s="44" t="str">
        <f t="shared" si="60"/>
        <v/>
      </c>
      <c r="U179" s="42" t="str">
        <f t="shared" si="69"/>
        <v/>
      </c>
      <c r="V179" s="41" t="str">
        <f t="shared" si="70"/>
        <v/>
      </c>
      <c r="W179" s="41" t="str">
        <f t="shared" si="75"/>
        <v/>
      </c>
      <c r="Y179" s="35" t="str">
        <f t="shared" si="61"/>
        <v/>
      </c>
      <c r="Z179" s="34" t="str">
        <f t="shared" si="71"/>
        <v/>
      </c>
      <c r="AA179" s="34" t="str">
        <f t="shared" si="53"/>
        <v/>
      </c>
      <c r="AC179" s="36" t="str">
        <f t="shared" si="62"/>
        <v/>
      </c>
      <c r="AE179" s="37">
        <f t="shared" si="63"/>
        <v>0</v>
      </c>
      <c r="AG179" s="56" t="str">
        <f t="shared" si="72"/>
        <v/>
      </c>
      <c r="AH179" s="57" t="str">
        <f t="shared" si="64"/>
        <v/>
      </c>
      <c r="AI179" s="57" t="str">
        <f t="shared" si="73"/>
        <v/>
      </c>
      <c r="AJ179" s="57" t="str">
        <f t="shared" si="65"/>
        <v/>
      </c>
      <c r="AK179" s="57" t="str">
        <f t="shared" si="74"/>
        <v/>
      </c>
    </row>
    <row r="180" spans="1:37">
      <c r="A180" s="2" t="str">
        <f t="shared" si="66"/>
        <v/>
      </c>
      <c r="B180" s="10" t="str">
        <f t="shared" si="54"/>
        <v/>
      </c>
      <c r="C180" s="18" t="str">
        <f t="shared" si="55"/>
        <v/>
      </c>
      <c r="D180" s="4" t="str">
        <f t="shared" si="67"/>
        <v/>
      </c>
      <c r="E180" s="4" t="str">
        <f t="shared" si="56"/>
        <v/>
      </c>
      <c r="F180" s="4" t="str">
        <f t="shared" si="57"/>
        <v/>
      </c>
      <c r="G180" s="4" t="str">
        <f t="shared" si="58"/>
        <v/>
      </c>
      <c r="H180" s="4"/>
      <c r="I180" s="4"/>
      <c r="J180" s="4"/>
      <c r="K180" s="4"/>
      <c r="L180" s="4" t="str">
        <f>IF(A180="","",IF(ISERROR(VLOOKUP(A180,'pagos anticipados'!$A$2:$B$5,2,FALSE)),0,VLOOKUP(A180,'pagos anticipados'!$A$2:B178,2,FALSE)))</f>
        <v/>
      </c>
      <c r="M180" s="4" t="str">
        <f t="shared" si="50"/>
        <v/>
      </c>
      <c r="N180" s="1">
        <f t="shared" si="51"/>
        <v>0</v>
      </c>
      <c r="Q180" s="44" t="str">
        <f t="shared" si="59"/>
        <v/>
      </c>
      <c r="R180" s="44" t="str">
        <f t="shared" si="68"/>
        <v/>
      </c>
      <c r="S180" s="44" t="str">
        <f t="shared" si="60"/>
        <v/>
      </c>
      <c r="U180" s="42" t="str">
        <f t="shared" si="69"/>
        <v/>
      </c>
      <c r="V180" s="41" t="str">
        <f t="shared" si="70"/>
        <v/>
      </c>
      <c r="W180" s="41" t="str">
        <f t="shared" si="75"/>
        <v/>
      </c>
      <c r="Y180" s="35" t="str">
        <f t="shared" si="61"/>
        <v/>
      </c>
      <c r="Z180" s="34" t="str">
        <f t="shared" si="71"/>
        <v/>
      </c>
      <c r="AA180" s="34" t="str">
        <f t="shared" si="53"/>
        <v/>
      </c>
      <c r="AC180" s="36" t="str">
        <f t="shared" si="62"/>
        <v/>
      </c>
      <c r="AE180" s="37">
        <f t="shared" si="63"/>
        <v>0</v>
      </c>
      <c r="AG180" s="56" t="str">
        <f t="shared" si="72"/>
        <v/>
      </c>
      <c r="AH180" s="57" t="str">
        <f t="shared" si="64"/>
        <v/>
      </c>
      <c r="AI180" s="57" t="str">
        <f t="shared" si="73"/>
        <v/>
      </c>
      <c r="AJ180" s="57" t="str">
        <f t="shared" si="65"/>
        <v/>
      </c>
      <c r="AK180" s="57" t="str">
        <f t="shared" si="74"/>
        <v/>
      </c>
    </row>
    <row r="181" spans="1:37">
      <c r="A181" s="2" t="str">
        <f t="shared" si="66"/>
        <v/>
      </c>
      <c r="B181" s="10" t="str">
        <f t="shared" si="54"/>
        <v/>
      </c>
      <c r="C181" s="18" t="str">
        <f t="shared" si="55"/>
        <v/>
      </c>
      <c r="D181" s="4" t="str">
        <f t="shared" si="67"/>
        <v/>
      </c>
      <c r="E181" s="4" t="str">
        <f t="shared" si="56"/>
        <v/>
      </c>
      <c r="F181" s="4" t="str">
        <f t="shared" si="57"/>
        <v/>
      </c>
      <c r="G181" s="4" t="str">
        <f t="shared" si="58"/>
        <v/>
      </c>
      <c r="H181" s="4"/>
      <c r="I181" s="4"/>
      <c r="J181" s="4"/>
      <c r="K181" s="4"/>
      <c r="L181" s="4" t="str">
        <f>IF(A181="","",IF(ISERROR(VLOOKUP(A181,'pagos anticipados'!$A$2:$B$5,2,FALSE)),0,VLOOKUP(A181,'pagos anticipados'!$A$2:B179,2,FALSE)))</f>
        <v/>
      </c>
      <c r="M181" s="4" t="str">
        <f t="shared" si="50"/>
        <v/>
      </c>
      <c r="N181" s="1">
        <f t="shared" si="51"/>
        <v>0</v>
      </c>
      <c r="Q181" s="44" t="str">
        <f t="shared" si="59"/>
        <v/>
      </c>
      <c r="R181" s="44" t="str">
        <f t="shared" si="68"/>
        <v/>
      </c>
      <c r="S181" s="44" t="str">
        <f t="shared" si="60"/>
        <v/>
      </c>
      <c r="U181" s="42" t="str">
        <f t="shared" si="69"/>
        <v/>
      </c>
      <c r="V181" s="41" t="str">
        <f t="shared" si="70"/>
        <v/>
      </c>
      <c r="W181" s="41" t="str">
        <f t="shared" si="75"/>
        <v/>
      </c>
      <c r="Y181" s="35" t="str">
        <f t="shared" si="61"/>
        <v/>
      </c>
      <c r="Z181" s="34" t="str">
        <f t="shared" si="71"/>
        <v/>
      </c>
      <c r="AA181" s="34" t="str">
        <f t="shared" si="53"/>
        <v/>
      </c>
      <c r="AC181" s="36" t="str">
        <f t="shared" si="62"/>
        <v/>
      </c>
      <c r="AE181" s="37">
        <f t="shared" si="63"/>
        <v>0</v>
      </c>
      <c r="AG181" s="56" t="str">
        <f t="shared" si="72"/>
        <v/>
      </c>
      <c r="AH181" s="57" t="str">
        <f t="shared" si="64"/>
        <v/>
      </c>
      <c r="AI181" s="57" t="str">
        <f t="shared" si="73"/>
        <v/>
      </c>
      <c r="AJ181" s="57" t="str">
        <f t="shared" si="65"/>
        <v/>
      </c>
      <c r="AK181" s="57" t="str">
        <f t="shared" si="74"/>
        <v/>
      </c>
    </row>
    <row r="182" spans="1:37">
      <c r="A182" s="2" t="str">
        <f t="shared" si="66"/>
        <v/>
      </c>
      <c r="B182" s="10" t="str">
        <f t="shared" si="54"/>
        <v/>
      </c>
      <c r="C182" s="18" t="str">
        <f t="shared" si="55"/>
        <v/>
      </c>
      <c r="D182" s="4" t="str">
        <f t="shared" si="67"/>
        <v/>
      </c>
      <c r="E182" s="4" t="str">
        <f t="shared" si="56"/>
        <v/>
      </c>
      <c r="F182" s="4" t="str">
        <f t="shared" si="57"/>
        <v/>
      </c>
      <c r="G182" s="4" t="str">
        <f t="shared" si="58"/>
        <v/>
      </c>
      <c r="H182" s="4"/>
      <c r="I182" s="4"/>
      <c r="J182" s="4"/>
      <c r="K182" s="4"/>
      <c r="L182" s="4" t="str">
        <f>IF(A182="","",IF(ISERROR(VLOOKUP(A182,'pagos anticipados'!$A$2:$B$5,2,FALSE)),0,VLOOKUP(A182,'pagos anticipados'!$A$2:B180,2,FALSE)))</f>
        <v/>
      </c>
      <c r="M182" s="4" t="str">
        <f t="shared" si="50"/>
        <v/>
      </c>
      <c r="N182" s="1">
        <f t="shared" si="51"/>
        <v>0</v>
      </c>
      <c r="Q182" s="44" t="str">
        <f t="shared" si="59"/>
        <v/>
      </c>
      <c r="R182" s="44" t="str">
        <f t="shared" si="68"/>
        <v/>
      </c>
      <c r="S182" s="44" t="str">
        <f t="shared" si="60"/>
        <v/>
      </c>
      <c r="U182" s="42" t="str">
        <f t="shared" si="69"/>
        <v/>
      </c>
      <c r="V182" s="41" t="str">
        <f t="shared" si="70"/>
        <v/>
      </c>
      <c r="W182" s="41" t="str">
        <f t="shared" si="75"/>
        <v/>
      </c>
      <c r="Y182" s="35" t="str">
        <f t="shared" si="61"/>
        <v/>
      </c>
      <c r="Z182" s="34" t="str">
        <f t="shared" si="71"/>
        <v/>
      </c>
      <c r="AA182" s="34" t="str">
        <f t="shared" si="53"/>
        <v/>
      </c>
      <c r="AC182" s="36" t="str">
        <f t="shared" si="62"/>
        <v/>
      </c>
      <c r="AE182" s="37">
        <f t="shared" si="63"/>
        <v>0</v>
      </c>
      <c r="AG182" s="56" t="str">
        <f t="shared" si="72"/>
        <v/>
      </c>
      <c r="AH182" s="57" t="str">
        <f t="shared" si="64"/>
        <v/>
      </c>
      <c r="AI182" s="57" t="str">
        <f t="shared" si="73"/>
        <v/>
      </c>
      <c r="AJ182" s="57" t="str">
        <f t="shared" si="65"/>
        <v/>
      </c>
      <c r="AK182" s="57" t="str">
        <f t="shared" si="74"/>
        <v/>
      </c>
    </row>
    <row r="183" spans="1:37">
      <c r="A183" s="2" t="str">
        <f t="shared" si="66"/>
        <v/>
      </c>
      <c r="B183" s="10" t="str">
        <f t="shared" si="54"/>
        <v/>
      </c>
      <c r="C183" s="18" t="str">
        <f t="shared" si="55"/>
        <v/>
      </c>
      <c r="D183" s="4" t="str">
        <f t="shared" si="67"/>
        <v/>
      </c>
      <c r="E183" s="4" t="str">
        <f t="shared" si="56"/>
        <v/>
      </c>
      <c r="F183" s="4" t="str">
        <f t="shared" si="57"/>
        <v/>
      </c>
      <c r="G183" s="4" t="str">
        <f t="shared" si="58"/>
        <v/>
      </c>
      <c r="H183" s="4"/>
      <c r="I183" s="4"/>
      <c r="J183" s="4"/>
      <c r="K183" s="4"/>
      <c r="L183" s="4" t="str">
        <f>IF(A183="","",IF(ISERROR(VLOOKUP(A183,'pagos anticipados'!$A$2:$B$5,2,FALSE)),0,VLOOKUP(A183,'pagos anticipados'!$A$2:B181,2,FALSE)))</f>
        <v/>
      </c>
      <c r="M183" s="4" t="str">
        <f t="shared" si="50"/>
        <v/>
      </c>
      <c r="N183" s="1">
        <f t="shared" si="51"/>
        <v>0</v>
      </c>
      <c r="Q183" s="44" t="str">
        <f t="shared" si="59"/>
        <v/>
      </c>
      <c r="R183" s="44" t="str">
        <f t="shared" si="68"/>
        <v/>
      </c>
      <c r="S183" s="44" t="str">
        <f t="shared" si="60"/>
        <v/>
      </c>
      <c r="U183" s="42" t="str">
        <f t="shared" si="69"/>
        <v/>
      </c>
      <c r="V183" s="41" t="str">
        <f t="shared" si="70"/>
        <v/>
      </c>
      <c r="W183" s="41" t="str">
        <f t="shared" si="75"/>
        <v/>
      </c>
      <c r="Y183" s="35" t="str">
        <f t="shared" si="61"/>
        <v/>
      </c>
      <c r="Z183" s="34" t="str">
        <f t="shared" si="71"/>
        <v/>
      </c>
      <c r="AA183" s="34" t="str">
        <f t="shared" si="53"/>
        <v/>
      </c>
      <c r="AC183" s="36" t="str">
        <f t="shared" si="62"/>
        <v/>
      </c>
      <c r="AE183" s="37">
        <f t="shared" si="63"/>
        <v>0</v>
      </c>
      <c r="AG183" s="56" t="str">
        <f t="shared" si="72"/>
        <v/>
      </c>
      <c r="AH183" s="57" t="str">
        <f t="shared" si="64"/>
        <v/>
      </c>
      <c r="AI183" s="57" t="str">
        <f t="shared" si="73"/>
        <v/>
      </c>
      <c r="AJ183" s="57" t="str">
        <f t="shared" si="65"/>
        <v/>
      </c>
      <c r="AK183" s="57" t="str">
        <f t="shared" si="74"/>
        <v/>
      </c>
    </row>
    <row r="184" spans="1:37">
      <c r="A184" s="2" t="str">
        <f t="shared" si="66"/>
        <v/>
      </c>
      <c r="B184" s="10" t="str">
        <f t="shared" si="54"/>
        <v/>
      </c>
      <c r="C184" s="18" t="str">
        <f t="shared" si="55"/>
        <v/>
      </c>
      <c r="D184" s="4" t="str">
        <f t="shared" si="67"/>
        <v/>
      </c>
      <c r="E184" s="4" t="str">
        <f t="shared" si="56"/>
        <v/>
      </c>
      <c r="F184" s="4" t="str">
        <f t="shared" si="57"/>
        <v/>
      </c>
      <c r="G184" s="4" t="str">
        <f t="shared" si="58"/>
        <v/>
      </c>
      <c r="H184" s="4"/>
      <c r="I184" s="4"/>
      <c r="J184" s="4"/>
      <c r="K184" s="4"/>
      <c r="L184" s="4" t="str">
        <f>IF(A184="","",IF(ISERROR(VLOOKUP(A184,'pagos anticipados'!$A$2:$B$5,2,FALSE)),0,VLOOKUP(A184,'pagos anticipados'!$A$2:B182,2,FALSE)))</f>
        <v/>
      </c>
      <c r="M184" s="4" t="str">
        <f t="shared" si="50"/>
        <v/>
      </c>
      <c r="N184" s="1">
        <f t="shared" si="51"/>
        <v>0</v>
      </c>
      <c r="Q184" s="44" t="str">
        <f t="shared" si="59"/>
        <v/>
      </c>
      <c r="R184" s="44" t="str">
        <f t="shared" si="68"/>
        <v/>
      </c>
      <c r="S184" s="44" t="str">
        <f t="shared" si="60"/>
        <v/>
      </c>
      <c r="U184" s="42" t="str">
        <f t="shared" si="69"/>
        <v/>
      </c>
      <c r="V184" s="41" t="str">
        <f t="shared" si="70"/>
        <v/>
      </c>
      <c r="W184" s="41" t="str">
        <f t="shared" si="75"/>
        <v/>
      </c>
      <c r="Y184" s="35" t="str">
        <f t="shared" si="61"/>
        <v/>
      </c>
      <c r="Z184" s="34" t="str">
        <f t="shared" si="71"/>
        <v/>
      </c>
      <c r="AA184" s="34" t="str">
        <f t="shared" si="53"/>
        <v/>
      </c>
      <c r="AC184" s="36" t="str">
        <f t="shared" si="62"/>
        <v/>
      </c>
      <c r="AE184" s="37">
        <f t="shared" si="63"/>
        <v>0</v>
      </c>
      <c r="AG184" s="56" t="str">
        <f t="shared" si="72"/>
        <v/>
      </c>
      <c r="AH184" s="57" t="str">
        <f t="shared" si="64"/>
        <v/>
      </c>
      <c r="AI184" s="57" t="str">
        <f t="shared" si="73"/>
        <v/>
      </c>
      <c r="AJ184" s="57" t="str">
        <f t="shared" si="65"/>
        <v/>
      </c>
      <c r="AK184" s="57" t="str">
        <f t="shared" si="74"/>
        <v/>
      </c>
    </row>
    <row r="185" spans="1:37">
      <c r="A185" s="2" t="str">
        <f t="shared" si="66"/>
        <v/>
      </c>
      <c r="B185" s="10" t="str">
        <f t="shared" si="54"/>
        <v/>
      </c>
      <c r="C185" s="18" t="str">
        <f t="shared" si="55"/>
        <v/>
      </c>
      <c r="D185" s="4" t="str">
        <f t="shared" si="67"/>
        <v/>
      </c>
      <c r="E185" s="4" t="str">
        <f t="shared" si="56"/>
        <v/>
      </c>
      <c r="F185" s="4" t="str">
        <f t="shared" si="57"/>
        <v/>
      </c>
      <c r="G185" s="4" t="str">
        <f t="shared" si="58"/>
        <v/>
      </c>
      <c r="H185" s="4"/>
      <c r="I185" s="4"/>
      <c r="J185" s="4"/>
      <c r="K185" s="4"/>
      <c r="L185" s="4" t="str">
        <f>IF(A185="","",IF(ISERROR(VLOOKUP(A185,'pagos anticipados'!$A$2:$B$5,2,FALSE)),0,VLOOKUP(A185,'pagos anticipados'!$A$2:B183,2,FALSE)))</f>
        <v/>
      </c>
      <c r="M185" s="4" t="str">
        <f t="shared" si="50"/>
        <v/>
      </c>
      <c r="N185" s="1">
        <f t="shared" si="51"/>
        <v>0</v>
      </c>
      <c r="Q185" s="44" t="str">
        <f t="shared" si="59"/>
        <v/>
      </c>
      <c r="R185" s="44" t="str">
        <f t="shared" si="68"/>
        <v/>
      </c>
      <c r="S185" s="44" t="str">
        <f t="shared" si="60"/>
        <v/>
      </c>
      <c r="U185" s="42" t="str">
        <f t="shared" si="69"/>
        <v/>
      </c>
      <c r="V185" s="41" t="str">
        <f t="shared" si="70"/>
        <v/>
      </c>
      <c r="W185" s="41" t="str">
        <f t="shared" si="75"/>
        <v/>
      </c>
      <c r="Y185" s="35" t="str">
        <f t="shared" si="61"/>
        <v/>
      </c>
      <c r="Z185" s="34" t="str">
        <f t="shared" si="71"/>
        <v/>
      </c>
      <c r="AA185" s="34" t="str">
        <f t="shared" si="53"/>
        <v/>
      </c>
      <c r="AC185" s="36" t="str">
        <f t="shared" si="62"/>
        <v/>
      </c>
      <c r="AE185" s="37">
        <f t="shared" si="63"/>
        <v>0</v>
      </c>
      <c r="AG185" s="56" t="str">
        <f t="shared" si="72"/>
        <v/>
      </c>
      <c r="AH185" s="57" t="str">
        <f t="shared" si="64"/>
        <v/>
      </c>
      <c r="AI185" s="57" t="str">
        <f t="shared" si="73"/>
        <v/>
      </c>
      <c r="AJ185" s="57" t="str">
        <f t="shared" si="65"/>
        <v/>
      </c>
      <c r="AK185" s="57" t="str">
        <f t="shared" si="74"/>
        <v/>
      </c>
    </row>
    <row r="186" spans="1:37">
      <c r="A186" s="2" t="str">
        <f t="shared" si="66"/>
        <v/>
      </c>
      <c r="B186" s="10" t="str">
        <f t="shared" si="54"/>
        <v/>
      </c>
      <c r="C186" s="18" t="str">
        <f t="shared" si="55"/>
        <v/>
      </c>
      <c r="D186" s="4" t="str">
        <f t="shared" si="67"/>
        <v/>
      </c>
      <c r="E186" s="4" t="str">
        <f t="shared" si="56"/>
        <v/>
      </c>
      <c r="F186" s="4" t="str">
        <f t="shared" si="57"/>
        <v/>
      </c>
      <c r="G186" s="4" t="str">
        <f t="shared" si="58"/>
        <v/>
      </c>
      <c r="H186" s="4"/>
      <c r="I186" s="4"/>
      <c r="J186" s="4"/>
      <c r="K186" s="4"/>
      <c r="L186" s="4" t="str">
        <f>IF(A186="","",IF(ISERROR(VLOOKUP(A186,'pagos anticipados'!$A$2:$B$5,2,FALSE)),0,VLOOKUP(A186,'pagos anticipados'!$A$2:B184,2,FALSE)))</f>
        <v/>
      </c>
      <c r="M186" s="4" t="str">
        <f t="shared" si="50"/>
        <v/>
      </c>
      <c r="N186" s="1">
        <f t="shared" si="51"/>
        <v>0</v>
      </c>
      <c r="Q186" s="44" t="str">
        <f t="shared" si="59"/>
        <v/>
      </c>
      <c r="R186" s="44" t="str">
        <f t="shared" si="68"/>
        <v/>
      </c>
      <c r="S186" s="44" t="str">
        <f t="shared" si="60"/>
        <v/>
      </c>
      <c r="U186" s="42" t="str">
        <f t="shared" si="69"/>
        <v/>
      </c>
      <c r="V186" s="41" t="str">
        <f t="shared" si="70"/>
        <v/>
      </c>
      <c r="W186" s="41" t="str">
        <f t="shared" si="75"/>
        <v/>
      </c>
      <c r="Y186" s="35" t="str">
        <f t="shared" si="61"/>
        <v/>
      </c>
      <c r="Z186" s="34" t="str">
        <f t="shared" si="71"/>
        <v/>
      </c>
      <c r="AA186" s="34" t="str">
        <f t="shared" si="53"/>
        <v/>
      </c>
      <c r="AC186" s="36" t="str">
        <f t="shared" si="62"/>
        <v/>
      </c>
      <c r="AE186" s="37">
        <f t="shared" si="63"/>
        <v>0</v>
      </c>
      <c r="AG186" s="56" t="str">
        <f t="shared" si="72"/>
        <v/>
      </c>
      <c r="AH186" s="57" t="str">
        <f t="shared" si="64"/>
        <v/>
      </c>
      <c r="AI186" s="57" t="str">
        <f t="shared" si="73"/>
        <v/>
      </c>
      <c r="AJ186" s="57" t="str">
        <f t="shared" si="65"/>
        <v/>
      </c>
      <c r="AK186" s="57" t="str">
        <f t="shared" si="74"/>
        <v/>
      </c>
    </row>
    <row r="187" spans="1:37">
      <c r="A187" s="2" t="str">
        <f t="shared" si="66"/>
        <v/>
      </c>
      <c r="B187" s="10" t="str">
        <f t="shared" si="54"/>
        <v/>
      </c>
      <c r="C187" s="18" t="str">
        <f t="shared" si="55"/>
        <v/>
      </c>
      <c r="D187" s="4" t="str">
        <f t="shared" si="67"/>
        <v/>
      </c>
      <c r="E187" s="4" t="str">
        <f t="shared" si="56"/>
        <v/>
      </c>
      <c r="F187" s="4" t="str">
        <f t="shared" si="57"/>
        <v/>
      </c>
      <c r="G187" s="4" t="str">
        <f t="shared" si="58"/>
        <v/>
      </c>
      <c r="H187" s="4"/>
      <c r="I187" s="4"/>
      <c r="J187" s="4"/>
      <c r="K187" s="4"/>
      <c r="L187" s="4" t="str">
        <f>IF(A187="","",IF(ISERROR(VLOOKUP(A187,'pagos anticipados'!$A$2:$B$5,2,FALSE)),0,VLOOKUP(A187,'pagos anticipados'!$A$2:B185,2,FALSE)))</f>
        <v/>
      </c>
      <c r="M187" s="4" t="str">
        <f t="shared" si="50"/>
        <v/>
      </c>
      <c r="N187" s="1">
        <f t="shared" si="51"/>
        <v>0</v>
      </c>
      <c r="Q187" s="44" t="str">
        <f t="shared" si="59"/>
        <v/>
      </c>
      <c r="R187" s="44" t="str">
        <f t="shared" si="68"/>
        <v/>
      </c>
      <c r="S187" s="44" t="str">
        <f t="shared" si="60"/>
        <v/>
      </c>
      <c r="U187" s="42" t="str">
        <f t="shared" si="69"/>
        <v/>
      </c>
      <c r="V187" s="41" t="str">
        <f t="shared" si="70"/>
        <v/>
      </c>
      <c r="W187" s="41" t="str">
        <f t="shared" si="75"/>
        <v/>
      </c>
      <c r="Y187" s="35" t="str">
        <f t="shared" si="61"/>
        <v/>
      </c>
      <c r="Z187" s="34" t="str">
        <f t="shared" si="71"/>
        <v/>
      </c>
      <c r="AA187" s="34" t="str">
        <f t="shared" si="53"/>
        <v/>
      </c>
      <c r="AC187" s="36" t="str">
        <f t="shared" si="62"/>
        <v/>
      </c>
      <c r="AE187" s="37">
        <f t="shared" si="63"/>
        <v>0</v>
      </c>
      <c r="AG187" s="56" t="str">
        <f t="shared" si="72"/>
        <v/>
      </c>
      <c r="AH187" s="57" t="str">
        <f t="shared" si="64"/>
        <v/>
      </c>
      <c r="AI187" s="57" t="str">
        <f t="shared" si="73"/>
        <v/>
      </c>
      <c r="AJ187" s="57" t="str">
        <f t="shared" si="65"/>
        <v/>
      </c>
      <c r="AK187" s="57" t="str">
        <f t="shared" si="74"/>
        <v/>
      </c>
    </row>
    <row r="188" spans="1:37">
      <c r="A188" s="2" t="str">
        <f t="shared" si="66"/>
        <v/>
      </c>
      <c r="B188" s="10" t="str">
        <f t="shared" si="54"/>
        <v/>
      </c>
      <c r="C188" s="18" t="str">
        <f t="shared" si="55"/>
        <v/>
      </c>
      <c r="D188" s="4" t="str">
        <f t="shared" si="67"/>
        <v/>
      </c>
      <c r="E188" s="4" t="str">
        <f t="shared" si="56"/>
        <v/>
      </c>
      <c r="F188" s="4" t="str">
        <f t="shared" si="57"/>
        <v/>
      </c>
      <c r="G188" s="4" t="str">
        <f t="shared" si="58"/>
        <v/>
      </c>
      <c r="H188" s="4"/>
      <c r="I188" s="4"/>
      <c r="J188" s="4"/>
      <c r="K188" s="4"/>
      <c r="L188" s="4" t="str">
        <f>IF(A188="","",IF(ISERROR(VLOOKUP(A188,'pagos anticipados'!$A$2:$B$5,2,FALSE)),0,VLOOKUP(A188,'pagos anticipados'!$A$2:B186,2,FALSE)))</f>
        <v/>
      </c>
      <c r="M188" s="4" t="str">
        <f t="shared" si="50"/>
        <v/>
      </c>
      <c r="N188" s="1">
        <f t="shared" si="51"/>
        <v>0</v>
      </c>
      <c r="Q188" s="44" t="str">
        <f t="shared" si="59"/>
        <v/>
      </c>
      <c r="R188" s="44" t="str">
        <f t="shared" si="68"/>
        <v/>
      </c>
      <c r="S188" s="44" t="str">
        <f t="shared" si="60"/>
        <v/>
      </c>
      <c r="U188" s="42" t="str">
        <f t="shared" si="69"/>
        <v/>
      </c>
      <c r="V188" s="41" t="str">
        <f t="shared" si="70"/>
        <v/>
      </c>
      <c r="W188" s="41" t="str">
        <f t="shared" si="75"/>
        <v/>
      </c>
      <c r="Y188" s="35" t="str">
        <f t="shared" si="61"/>
        <v/>
      </c>
      <c r="Z188" s="34" t="str">
        <f t="shared" si="71"/>
        <v/>
      </c>
      <c r="AA188" s="34" t="str">
        <f t="shared" si="53"/>
        <v/>
      </c>
      <c r="AC188" s="36" t="str">
        <f t="shared" si="62"/>
        <v/>
      </c>
      <c r="AE188" s="37">
        <f t="shared" si="63"/>
        <v>0</v>
      </c>
      <c r="AG188" s="56" t="str">
        <f t="shared" si="72"/>
        <v/>
      </c>
      <c r="AH188" s="57" t="str">
        <f t="shared" si="64"/>
        <v/>
      </c>
      <c r="AI188" s="57" t="str">
        <f t="shared" si="73"/>
        <v/>
      </c>
      <c r="AJ188" s="57" t="str">
        <f t="shared" si="65"/>
        <v/>
      </c>
      <c r="AK188" s="57" t="str">
        <f t="shared" si="74"/>
        <v/>
      </c>
    </row>
    <row r="189" spans="1:37">
      <c r="A189" s="2" t="str">
        <f t="shared" si="66"/>
        <v/>
      </c>
      <c r="B189" s="10" t="str">
        <f t="shared" si="54"/>
        <v/>
      </c>
      <c r="C189" s="18" t="str">
        <f t="shared" si="55"/>
        <v/>
      </c>
      <c r="D189" s="4" t="str">
        <f t="shared" si="67"/>
        <v/>
      </c>
      <c r="E189" s="4" t="str">
        <f t="shared" si="56"/>
        <v/>
      </c>
      <c r="F189" s="4" t="str">
        <f t="shared" si="57"/>
        <v/>
      </c>
      <c r="G189" s="4" t="str">
        <f t="shared" si="58"/>
        <v/>
      </c>
      <c r="H189" s="4"/>
      <c r="I189" s="4"/>
      <c r="J189" s="4"/>
      <c r="K189" s="4"/>
      <c r="L189" s="4" t="str">
        <f>IF(A189="","",IF(ISERROR(VLOOKUP(A189,'pagos anticipados'!$A$2:$B$5,2,FALSE)),0,VLOOKUP(A189,'pagos anticipados'!$A$2:B187,2,FALSE)))</f>
        <v/>
      </c>
      <c r="M189" s="4" t="str">
        <f t="shared" si="50"/>
        <v/>
      </c>
      <c r="N189" s="1">
        <f t="shared" si="51"/>
        <v>0</v>
      </c>
      <c r="Q189" s="44" t="str">
        <f t="shared" si="59"/>
        <v/>
      </c>
      <c r="R189" s="44" t="str">
        <f t="shared" si="68"/>
        <v/>
      </c>
      <c r="S189" s="44" t="str">
        <f t="shared" si="60"/>
        <v/>
      </c>
      <c r="U189" s="42" t="str">
        <f t="shared" si="69"/>
        <v/>
      </c>
      <c r="V189" s="41" t="str">
        <f t="shared" si="70"/>
        <v/>
      </c>
      <c r="W189" s="41" t="str">
        <f t="shared" si="75"/>
        <v/>
      </c>
      <c r="Y189" s="35" t="str">
        <f t="shared" si="61"/>
        <v/>
      </c>
      <c r="Z189" s="34" t="str">
        <f t="shared" si="71"/>
        <v/>
      </c>
      <c r="AA189" s="34" t="str">
        <f t="shared" si="53"/>
        <v/>
      </c>
      <c r="AC189" s="36" t="str">
        <f t="shared" si="62"/>
        <v/>
      </c>
      <c r="AE189" s="37">
        <f t="shared" si="63"/>
        <v>0</v>
      </c>
      <c r="AG189" s="56" t="str">
        <f t="shared" si="72"/>
        <v/>
      </c>
      <c r="AH189" s="57" t="str">
        <f t="shared" si="64"/>
        <v/>
      </c>
      <c r="AI189" s="57" t="str">
        <f t="shared" si="73"/>
        <v/>
      </c>
      <c r="AJ189" s="57" t="str">
        <f t="shared" si="65"/>
        <v/>
      </c>
      <c r="AK189" s="57" t="str">
        <f t="shared" si="74"/>
        <v/>
      </c>
    </row>
    <row r="190" spans="1:37">
      <c r="A190" s="2" t="str">
        <f t="shared" si="66"/>
        <v/>
      </c>
      <c r="B190" s="10" t="str">
        <f t="shared" si="54"/>
        <v/>
      </c>
      <c r="C190" s="18" t="str">
        <f t="shared" si="55"/>
        <v/>
      </c>
      <c r="D190" s="4" t="str">
        <f t="shared" si="67"/>
        <v/>
      </c>
      <c r="E190" s="4" t="str">
        <f t="shared" si="56"/>
        <v/>
      </c>
      <c r="F190" s="4" t="str">
        <f t="shared" si="57"/>
        <v/>
      </c>
      <c r="G190" s="4" t="str">
        <f t="shared" si="58"/>
        <v/>
      </c>
      <c r="H190" s="4"/>
      <c r="I190" s="4"/>
      <c r="J190" s="4"/>
      <c r="K190" s="4"/>
      <c r="L190" s="4" t="str">
        <f>IF(A190="","",IF(ISERROR(VLOOKUP(A190,'pagos anticipados'!$A$2:$B$5,2,FALSE)),0,VLOOKUP(A190,'pagos anticipados'!$A$2:B188,2,FALSE)))</f>
        <v/>
      </c>
      <c r="M190" s="4" t="str">
        <f t="shared" si="50"/>
        <v/>
      </c>
      <c r="N190" s="1">
        <f t="shared" si="51"/>
        <v>0</v>
      </c>
      <c r="Q190" s="44" t="str">
        <f t="shared" si="59"/>
        <v/>
      </c>
      <c r="R190" s="44" t="str">
        <f t="shared" si="68"/>
        <v/>
      </c>
      <c r="S190" s="44" t="str">
        <f t="shared" si="60"/>
        <v/>
      </c>
      <c r="U190" s="42" t="str">
        <f t="shared" si="69"/>
        <v/>
      </c>
      <c r="V190" s="41" t="str">
        <f t="shared" si="70"/>
        <v/>
      </c>
      <c r="W190" s="41" t="str">
        <f t="shared" si="75"/>
        <v/>
      </c>
      <c r="Y190" s="35" t="str">
        <f t="shared" si="61"/>
        <v/>
      </c>
      <c r="Z190" s="34" t="str">
        <f t="shared" si="71"/>
        <v/>
      </c>
      <c r="AA190" s="34" t="str">
        <f t="shared" si="53"/>
        <v/>
      </c>
      <c r="AC190" s="36" t="str">
        <f t="shared" si="62"/>
        <v/>
      </c>
      <c r="AE190" s="37">
        <f t="shared" si="63"/>
        <v>0</v>
      </c>
      <c r="AG190" s="56" t="str">
        <f t="shared" si="72"/>
        <v/>
      </c>
      <c r="AH190" s="57" t="str">
        <f t="shared" si="64"/>
        <v/>
      </c>
      <c r="AI190" s="57" t="str">
        <f t="shared" si="73"/>
        <v/>
      </c>
      <c r="AJ190" s="57" t="str">
        <f t="shared" si="65"/>
        <v/>
      </c>
      <c r="AK190" s="57" t="str">
        <f t="shared" si="74"/>
        <v/>
      </c>
    </row>
    <row r="191" spans="1:37">
      <c r="A191" s="2" t="str">
        <f t="shared" si="66"/>
        <v/>
      </c>
      <c r="B191" s="10" t="str">
        <f t="shared" si="54"/>
        <v/>
      </c>
      <c r="C191" s="18" t="str">
        <f t="shared" si="55"/>
        <v/>
      </c>
      <c r="D191" s="4" t="str">
        <f t="shared" si="67"/>
        <v/>
      </c>
      <c r="E191" s="4" t="str">
        <f t="shared" si="56"/>
        <v/>
      </c>
      <c r="F191" s="4" t="str">
        <f t="shared" si="57"/>
        <v/>
      </c>
      <c r="G191" s="4" t="str">
        <f t="shared" si="58"/>
        <v/>
      </c>
      <c r="H191" s="4"/>
      <c r="I191" s="4"/>
      <c r="J191" s="4"/>
      <c r="K191" s="4"/>
      <c r="L191" s="4" t="str">
        <f>IF(A191="","",IF(ISERROR(VLOOKUP(A191,'pagos anticipados'!$A$2:$B$5,2,FALSE)),0,VLOOKUP(A191,'pagos anticipados'!$A$2:B189,2,FALSE)))</f>
        <v/>
      </c>
      <c r="M191" s="4" t="str">
        <f t="shared" si="50"/>
        <v/>
      </c>
      <c r="N191" s="1">
        <f t="shared" si="51"/>
        <v>0</v>
      </c>
      <c r="Q191" s="44" t="str">
        <f t="shared" si="59"/>
        <v/>
      </c>
      <c r="R191" s="44" t="str">
        <f t="shared" si="68"/>
        <v/>
      </c>
      <c r="S191" s="44" t="str">
        <f t="shared" si="60"/>
        <v/>
      </c>
      <c r="U191" s="42" t="str">
        <f t="shared" si="69"/>
        <v/>
      </c>
      <c r="V191" s="41" t="str">
        <f t="shared" si="70"/>
        <v/>
      </c>
      <c r="W191" s="41" t="str">
        <f t="shared" si="75"/>
        <v/>
      </c>
      <c r="Y191" s="35" t="str">
        <f t="shared" si="61"/>
        <v/>
      </c>
      <c r="Z191" s="34" t="str">
        <f t="shared" si="71"/>
        <v/>
      </c>
      <c r="AA191" s="34" t="str">
        <f t="shared" si="53"/>
        <v/>
      </c>
      <c r="AC191" s="36" t="str">
        <f t="shared" si="62"/>
        <v/>
      </c>
      <c r="AE191" s="37">
        <f t="shared" si="63"/>
        <v>0</v>
      </c>
      <c r="AG191" s="56" t="str">
        <f t="shared" si="72"/>
        <v/>
      </c>
      <c r="AH191" s="57" t="str">
        <f t="shared" si="64"/>
        <v/>
      </c>
      <c r="AI191" s="57" t="str">
        <f t="shared" si="73"/>
        <v/>
      </c>
      <c r="AJ191" s="57" t="str">
        <f t="shared" si="65"/>
        <v/>
      </c>
      <c r="AK191" s="57" t="str">
        <f t="shared" si="74"/>
        <v/>
      </c>
    </row>
    <row r="192" spans="1:37">
      <c r="A192" s="2" t="str">
        <f t="shared" si="66"/>
        <v/>
      </c>
      <c r="B192" s="10" t="str">
        <f t="shared" si="54"/>
        <v/>
      </c>
      <c r="C192" s="18" t="str">
        <f t="shared" si="55"/>
        <v/>
      </c>
      <c r="D192" s="4" t="str">
        <f t="shared" si="67"/>
        <v/>
      </c>
      <c r="E192" s="4" t="str">
        <f t="shared" si="56"/>
        <v/>
      </c>
      <c r="F192" s="4" t="str">
        <f t="shared" si="57"/>
        <v/>
      </c>
      <c r="G192" s="4" t="str">
        <f t="shared" si="58"/>
        <v/>
      </c>
      <c r="H192" s="4"/>
      <c r="I192" s="4"/>
      <c r="J192" s="4"/>
      <c r="K192" s="4"/>
      <c r="L192" s="4" t="str">
        <f>IF(A192="","",IF(ISERROR(VLOOKUP(A192,'pagos anticipados'!$A$2:$B$5,2,FALSE)),0,VLOOKUP(A192,'pagos anticipados'!$A$2:B190,2,FALSE)))</f>
        <v/>
      </c>
      <c r="M192" s="4" t="str">
        <f t="shared" si="50"/>
        <v/>
      </c>
      <c r="N192" s="1">
        <f t="shared" si="51"/>
        <v>0</v>
      </c>
      <c r="Q192" s="44" t="str">
        <f t="shared" si="59"/>
        <v/>
      </c>
      <c r="R192" s="44" t="str">
        <f t="shared" si="68"/>
        <v/>
      </c>
      <c r="S192" s="44" t="str">
        <f t="shared" si="60"/>
        <v/>
      </c>
      <c r="U192" s="42" t="str">
        <f t="shared" si="69"/>
        <v/>
      </c>
      <c r="V192" s="41" t="str">
        <f t="shared" si="70"/>
        <v/>
      </c>
      <c r="W192" s="41" t="str">
        <f t="shared" si="75"/>
        <v/>
      </c>
      <c r="Y192" s="35" t="str">
        <f t="shared" si="61"/>
        <v/>
      </c>
      <c r="Z192" s="34" t="str">
        <f t="shared" si="71"/>
        <v/>
      </c>
      <c r="AA192" s="34" t="str">
        <f t="shared" si="53"/>
        <v/>
      </c>
      <c r="AC192" s="36" t="str">
        <f t="shared" si="62"/>
        <v/>
      </c>
      <c r="AE192" s="37">
        <f t="shared" si="63"/>
        <v>0</v>
      </c>
      <c r="AG192" s="56" t="str">
        <f t="shared" si="72"/>
        <v/>
      </c>
      <c r="AH192" s="57" t="str">
        <f t="shared" si="64"/>
        <v/>
      </c>
      <c r="AI192" s="57" t="str">
        <f t="shared" si="73"/>
        <v/>
      </c>
      <c r="AJ192" s="57" t="str">
        <f t="shared" si="65"/>
        <v/>
      </c>
      <c r="AK192" s="57" t="str">
        <f t="shared" si="74"/>
        <v/>
      </c>
    </row>
    <row r="193" spans="1:37">
      <c r="A193" s="2" t="str">
        <f t="shared" si="66"/>
        <v/>
      </c>
      <c r="B193" s="10" t="str">
        <f t="shared" si="54"/>
        <v/>
      </c>
      <c r="C193" s="18" t="str">
        <f t="shared" si="55"/>
        <v/>
      </c>
      <c r="D193" s="4" t="str">
        <f t="shared" si="67"/>
        <v/>
      </c>
      <c r="E193" s="4" t="str">
        <f t="shared" si="56"/>
        <v/>
      </c>
      <c r="F193" s="4" t="str">
        <f t="shared" si="57"/>
        <v/>
      </c>
      <c r="G193" s="4" t="str">
        <f t="shared" si="58"/>
        <v/>
      </c>
      <c r="H193" s="4"/>
      <c r="I193" s="4"/>
      <c r="J193" s="4"/>
      <c r="K193" s="4"/>
      <c r="L193" s="4" t="str">
        <f>IF(A193="","",IF(ISERROR(VLOOKUP(A193,'pagos anticipados'!$A$2:$B$5,2,FALSE)),0,VLOOKUP(A193,'pagos anticipados'!$A$2:B191,2,FALSE)))</f>
        <v/>
      </c>
      <c r="M193" s="4" t="str">
        <f t="shared" si="50"/>
        <v/>
      </c>
      <c r="N193" s="1">
        <f t="shared" si="51"/>
        <v>0</v>
      </c>
      <c r="Q193" s="44" t="str">
        <f t="shared" si="59"/>
        <v/>
      </c>
      <c r="R193" s="44" t="str">
        <f t="shared" si="68"/>
        <v/>
      </c>
      <c r="S193" s="44" t="str">
        <f t="shared" si="60"/>
        <v/>
      </c>
      <c r="U193" s="42" t="str">
        <f t="shared" si="69"/>
        <v/>
      </c>
      <c r="V193" s="41" t="str">
        <f t="shared" si="70"/>
        <v/>
      </c>
      <c r="W193" s="41" t="str">
        <f t="shared" si="75"/>
        <v/>
      </c>
      <c r="Y193" s="35" t="str">
        <f t="shared" si="61"/>
        <v/>
      </c>
      <c r="Z193" s="34" t="str">
        <f t="shared" si="71"/>
        <v/>
      </c>
      <c r="AA193" s="34" t="str">
        <f t="shared" si="53"/>
        <v/>
      </c>
      <c r="AC193" s="36" t="str">
        <f t="shared" si="62"/>
        <v/>
      </c>
      <c r="AE193" s="37">
        <f t="shared" si="63"/>
        <v>0</v>
      </c>
      <c r="AG193" s="56" t="str">
        <f t="shared" si="72"/>
        <v/>
      </c>
      <c r="AH193" s="57" t="str">
        <f t="shared" si="64"/>
        <v/>
      </c>
      <c r="AI193" s="57" t="str">
        <f t="shared" si="73"/>
        <v/>
      </c>
      <c r="AJ193" s="57" t="str">
        <f t="shared" si="65"/>
        <v/>
      </c>
      <c r="AK193" s="57" t="str">
        <f t="shared" si="74"/>
        <v/>
      </c>
    </row>
    <row r="194" spans="1:37">
      <c r="A194" s="2" t="str">
        <f t="shared" si="66"/>
        <v/>
      </c>
      <c r="B194" s="10" t="str">
        <f t="shared" si="54"/>
        <v/>
      </c>
      <c r="C194" s="18" t="str">
        <f t="shared" si="55"/>
        <v/>
      </c>
      <c r="D194" s="4" t="str">
        <f t="shared" si="67"/>
        <v/>
      </c>
      <c r="E194" s="4" t="str">
        <f t="shared" si="56"/>
        <v/>
      </c>
      <c r="F194" s="4" t="str">
        <f t="shared" si="57"/>
        <v/>
      </c>
      <c r="G194" s="4" t="str">
        <f t="shared" si="58"/>
        <v/>
      </c>
      <c r="H194" s="4"/>
      <c r="I194" s="4"/>
      <c r="J194" s="4"/>
      <c r="K194" s="4"/>
      <c r="L194" s="4" t="str">
        <f>IF(A194="","",IF(ISERROR(VLOOKUP(A194,'pagos anticipados'!$A$2:$B$5,2,FALSE)),0,VLOOKUP(A194,'pagos anticipados'!$A$2:B192,2,FALSE)))</f>
        <v/>
      </c>
      <c r="M194" s="4" t="str">
        <f t="shared" si="50"/>
        <v/>
      </c>
      <c r="N194" s="1">
        <f t="shared" si="51"/>
        <v>0</v>
      </c>
      <c r="Q194" s="44" t="str">
        <f t="shared" si="59"/>
        <v/>
      </c>
      <c r="R194" s="44" t="str">
        <f t="shared" si="68"/>
        <v/>
      </c>
      <c r="S194" s="44" t="str">
        <f t="shared" si="60"/>
        <v/>
      </c>
      <c r="U194" s="42" t="str">
        <f t="shared" si="69"/>
        <v/>
      </c>
      <c r="V194" s="41" t="str">
        <f t="shared" si="70"/>
        <v/>
      </c>
      <c r="W194" s="41" t="str">
        <f t="shared" si="75"/>
        <v/>
      </c>
      <c r="Y194" s="35" t="str">
        <f t="shared" si="61"/>
        <v/>
      </c>
      <c r="Z194" s="34" t="str">
        <f t="shared" si="71"/>
        <v/>
      </c>
      <c r="AA194" s="34" t="str">
        <f t="shared" si="53"/>
        <v/>
      </c>
      <c r="AC194" s="36" t="str">
        <f t="shared" si="62"/>
        <v/>
      </c>
      <c r="AE194" s="37">
        <f t="shared" si="63"/>
        <v>0</v>
      </c>
      <c r="AG194" s="56" t="str">
        <f t="shared" si="72"/>
        <v/>
      </c>
      <c r="AH194" s="57" t="str">
        <f t="shared" si="64"/>
        <v/>
      </c>
      <c r="AI194" s="57" t="str">
        <f t="shared" si="73"/>
        <v/>
      </c>
      <c r="AJ194" s="57" t="str">
        <f t="shared" si="65"/>
        <v/>
      </c>
      <c r="AK194" s="57" t="str">
        <f t="shared" si="74"/>
        <v/>
      </c>
    </row>
    <row r="195" spans="1:37">
      <c r="A195" s="2" t="str">
        <f t="shared" si="66"/>
        <v/>
      </c>
      <c r="B195" s="10" t="str">
        <f t="shared" si="54"/>
        <v/>
      </c>
      <c r="C195" s="18" t="str">
        <f t="shared" si="55"/>
        <v/>
      </c>
      <c r="D195" s="4" t="str">
        <f t="shared" si="67"/>
        <v/>
      </c>
      <c r="E195" s="4" t="str">
        <f t="shared" si="56"/>
        <v/>
      </c>
      <c r="F195" s="4" t="str">
        <f t="shared" si="57"/>
        <v/>
      </c>
      <c r="G195" s="4" t="str">
        <f t="shared" si="58"/>
        <v/>
      </c>
      <c r="H195" s="4"/>
      <c r="I195" s="4"/>
      <c r="J195" s="4"/>
      <c r="K195" s="4"/>
      <c r="L195" s="4" t="str">
        <f>IF(A195="","",IF(ISERROR(VLOOKUP(A195,'pagos anticipados'!$A$2:$B$5,2,FALSE)),0,VLOOKUP(A195,'pagos anticipados'!$A$2:B193,2,FALSE)))</f>
        <v/>
      </c>
      <c r="M195" s="4" t="str">
        <f t="shared" si="50"/>
        <v/>
      </c>
      <c r="N195" s="1">
        <f t="shared" si="51"/>
        <v>0</v>
      </c>
      <c r="Q195" s="44" t="str">
        <f t="shared" si="59"/>
        <v/>
      </c>
      <c r="R195" s="44" t="str">
        <f t="shared" si="68"/>
        <v/>
      </c>
      <c r="S195" s="44" t="str">
        <f t="shared" si="60"/>
        <v/>
      </c>
      <c r="U195" s="42" t="str">
        <f t="shared" si="69"/>
        <v/>
      </c>
      <c r="V195" s="41" t="str">
        <f t="shared" si="70"/>
        <v/>
      </c>
      <c r="W195" s="41" t="str">
        <f t="shared" si="75"/>
        <v/>
      </c>
      <c r="Y195" s="35" t="str">
        <f t="shared" si="61"/>
        <v/>
      </c>
      <c r="Z195" s="34" t="str">
        <f t="shared" si="71"/>
        <v/>
      </c>
      <c r="AA195" s="34" t="str">
        <f t="shared" si="53"/>
        <v/>
      </c>
      <c r="AC195" s="36" t="str">
        <f t="shared" si="62"/>
        <v/>
      </c>
      <c r="AE195" s="37">
        <f t="shared" si="63"/>
        <v>0</v>
      </c>
      <c r="AG195" s="56" t="str">
        <f t="shared" si="72"/>
        <v/>
      </c>
      <c r="AH195" s="57" t="str">
        <f t="shared" si="64"/>
        <v/>
      </c>
      <c r="AI195" s="57" t="str">
        <f t="shared" si="73"/>
        <v/>
      </c>
      <c r="AJ195" s="57" t="str">
        <f t="shared" si="65"/>
        <v/>
      </c>
      <c r="AK195" s="57" t="str">
        <f t="shared" si="74"/>
        <v/>
      </c>
    </row>
    <row r="196" spans="1:37">
      <c r="A196" s="2" t="str">
        <f t="shared" si="66"/>
        <v/>
      </c>
      <c r="B196" s="10" t="str">
        <f t="shared" si="54"/>
        <v/>
      </c>
      <c r="C196" s="18" t="str">
        <f t="shared" si="55"/>
        <v/>
      </c>
      <c r="D196" s="4" t="str">
        <f t="shared" si="67"/>
        <v/>
      </c>
      <c r="E196" s="4" t="str">
        <f t="shared" si="56"/>
        <v/>
      </c>
      <c r="F196" s="4" t="str">
        <f t="shared" si="57"/>
        <v/>
      </c>
      <c r="G196" s="4" t="str">
        <f t="shared" si="58"/>
        <v/>
      </c>
      <c r="H196" s="4"/>
      <c r="I196" s="4"/>
      <c r="J196" s="4"/>
      <c r="K196" s="4"/>
      <c r="L196" s="4" t="str">
        <f>IF(A196="","",IF(ISERROR(VLOOKUP(A196,'pagos anticipados'!$A$2:$B$5,2,FALSE)),0,VLOOKUP(A196,'pagos anticipados'!$A$2:B194,2,FALSE)))</f>
        <v/>
      </c>
      <c r="M196" s="4" t="str">
        <f t="shared" si="50"/>
        <v/>
      </c>
      <c r="N196" s="1">
        <f t="shared" si="51"/>
        <v>0</v>
      </c>
      <c r="Q196" s="44" t="str">
        <f t="shared" si="59"/>
        <v/>
      </c>
      <c r="R196" s="44" t="str">
        <f t="shared" si="68"/>
        <v/>
      </c>
      <c r="S196" s="44" t="str">
        <f t="shared" si="60"/>
        <v/>
      </c>
      <c r="U196" s="42" t="str">
        <f t="shared" si="69"/>
        <v/>
      </c>
      <c r="V196" s="41" t="str">
        <f t="shared" si="70"/>
        <v/>
      </c>
      <c r="W196" s="41" t="str">
        <f t="shared" si="75"/>
        <v/>
      </c>
      <c r="Y196" s="35" t="str">
        <f t="shared" si="61"/>
        <v/>
      </c>
      <c r="Z196" s="34" t="str">
        <f t="shared" si="71"/>
        <v/>
      </c>
      <c r="AA196" s="34" t="str">
        <f t="shared" si="53"/>
        <v/>
      </c>
      <c r="AC196" s="36" t="str">
        <f t="shared" si="62"/>
        <v/>
      </c>
      <c r="AE196" s="37">
        <f t="shared" si="63"/>
        <v>0</v>
      </c>
      <c r="AG196" s="56" t="str">
        <f t="shared" si="72"/>
        <v/>
      </c>
      <c r="AH196" s="57" t="str">
        <f t="shared" si="64"/>
        <v/>
      </c>
      <c r="AI196" s="57" t="str">
        <f t="shared" si="73"/>
        <v/>
      </c>
      <c r="AJ196" s="57" t="str">
        <f t="shared" si="65"/>
        <v/>
      </c>
      <c r="AK196" s="57" t="str">
        <f t="shared" si="74"/>
        <v/>
      </c>
    </row>
    <row r="197" spans="1:37">
      <c r="A197" s="2" t="str">
        <f t="shared" si="66"/>
        <v/>
      </c>
      <c r="B197" s="10" t="str">
        <f t="shared" si="54"/>
        <v/>
      </c>
      <c r="C197" s="18" t="str">
        <f t="shared" si="55"/>
        <v/>
      </c>
      <c r="D197" s="4" t="str">
        <f t="shared" si="67"/>
        <v/>
      </c>
      <c r="E197" s="4" t="str">
        <f t="shared" si="56"/>
        <v/>
      </c>
      <c r="F197" s="4" t="str">
        <f t="shared" si="57"/>
        <v/>
      </c>
      <c r="G197" s="4" t="str">
        <f t="shared" si="58"/>
        <v/>
      </c>
      <c r="H197" s="4"/>
      <c r="I197" s="4"/>
      <c r="J197" s="4"/>
      <c r="K197" s="4"/>
      <c r="L197" s="4" t="str">
        <f>IF(A197="","",IF(ISERROR(VLOOKUP(A197,'pagos anticipados'!$A$2:$B$5,2,FALSE)),0,VLOOKUP(A197,'pagos anticipados'!$A$2:B195,2,FALSE)))</f>
        <v/>
      </c>
      <c r="M197" s="4" t="str">
        <f t="shared" si="50"/>
        <v/>
      </c>
      <c r="N197" s="1">
        <f t="shared" si="51"/>
        <v>0</v>
      </c>
      <c r="Q197" s="44" t="str">
        <f t="shared" si="59"/>
        <v/>
      </c>
      <c r="R197" s="44" t="str">
        <f t="shared" si="68"/>
        <v/>
      </c>
      <c r="S197" s="44" t="str">
        <f t="shared" si="60"/>
        <v/>
      </c>
      <c r="U197" s="42" t="str">
        <f t="shared" si="69"/>
        <v/>
      </c>
      <c r="V197" s="41" t="str">
        <f t="shared" si="70"/>
        <v/>
      </c>
      <c r="W197" s="41" t="str">
        <f t="shared" si="75"/>
        <v/>
      </c>
      <c r="Y197" s="35" t="str">
        <f t="shared" si="61"/>
        <v/>
      </c>
      <c r="Z197" s="34" t="str">
        <f t="shared" si="71"/>
        <v/>
      </c>
      <c r="AA197" s="34" t="str">
        <f t="shared" si="53"/>
        <v/>
      </c>
      <c r="AC197" s="36" t="str">
        <f t="shared" si="62"/>
        <v/>
      </c>
      <c r="AE197" s="37">
        <f t="shared" si="63"/>
        <v>0</v>
      </c>
      <c r="AG197" s="56" t="str">
        <f t="shared" si="72"/>
        <v/>
      </c>
      <c r="AH197" s="57" t="str">
        <f t="shared" si="64"/>
        <v/>
      </c>
      <c r="AI197" s="57" t="str">
        <f t="shared" si="73"/>
        <v/>
      </c>
      <c r="AJ197" s="57" t="str">
        <f t="shared" si="65"/>
        <v/>
      </c>
      <c r="AK197" s="57" t="str">
        <f t="shared" si="74"/>
        <v/>
      </c>
    </row>
    <row r="198" spans="1:37">
      <c r="A198" s="2" t="str">
        <f t="shared" si="66"/>
        <v/>
      </c>
      <c r="B198" s="10" t="str">
        <f t="shared" si="54"/>
        <v/>
      </c>
      <c r="C198" s="18" t="str">
        <f t="shared" si="55"/>
        <v/>
      </c>
      <c r="D198" s="4" t="str">
        <f t="shared" si="67"/>
        <v/>
      </c>
      <c r="E198" s="4" t="str">
        <f t="shared" si="56"/>
        <v/>
      </c>
      <c r="F198" s="4" t="str">
        <f t="shared" si="57"/>
        <v/>
      </c>
      <c r="G198" s="4" t="str">
        <f t="shared" si="58"/>
        <v/>
      </c>
      <c r="H198" s="4"/>
      <c r="I198" s="4"/>
      <c r="J198" s="4"/>
      <c r="K198" s="4"/>
      <c r="L198" s="4" t="str">
        <f>IF(A198="","",IF(ISERROR(VLOOKUP(A198,'pagos anticipados'!$A$2:$B$5,2,FALSE)),0,VLOOKUP(A198,'pagos anticipados'!$A$2:B196,2,FALSE)))</f>
        <v/>
      </c>
      <c r="M198" s="4" t="str">
        <f t="shared" si="50"/>
        <v/>
      </c>
      <c r="N198" s="1">
        <f t="shared" si="51"/>
        <v>0</v>
      </c>
      <c r="Q198" s="44" t="str">
        <f t="shared" si="59"/>
        <v/>
      </c>
      <c r="R198" s="44" t="str">
        <f t="shared" si="68"/>
        <v/>
      </c>
      <c r="S198" s="44" t="str">
        <f t="shared" si="60"/>
        <v/>
      </c>
      <c r="U198" s="42" t="str">
        <f t="shared" si="69"/>
        <v/>
      </c>
      <c r="V198" s="41" t="str">
        <f t="shared" si="70"/>
        <v/>
      </c>
      <c r="W198" s="41" t="str">
        <f t="shared" si="75"/>
        <v/>
      </c>
      <c r="Y198" s="35" t="str">
        <f t="shared" si="61"/>
        <v/>
      </c>
      <c r="Z198" s="34" t="str">
        <f t="shared" si="71"/>
        <v/>
      </c>
      <c r="AA198" s="34" t="str">
        <f t="shared" si="53"/>
        <v/>
      </c>
      <c r="AC198" s="36" t="str">
        <f t="shared" si="62"/>
        <v/>
      </c>
      <c r="AE198" s="37">
        <f t="shared" si="63"/>
        <v>0</v>
      </c>
      <c r="AG198" s="56" t="str">
        <f t="shared" si="72"/>
        <v/>
      </c>
      <c r="AH198" s="57" t="str">
        <f t="shared" si="64"/>
        <v/>
      </c>
      <c r="AI198" s="57" t="str">
        <f t="shared" si="73"/>
        <v/>
      </c>
      <c r="AJ198" s="57" t="str">
        <f t="shared" si="65"/>
        <v/>
      </c>
      <c r="AK198" s="57" t="str">
        <f t="shared" si="74"/>
        <v/>
      </c>
    </row>
    <row r="199" spans="1:37">
      <c r="A199" s="2" t="str">
        <f t="shared" si="66"/>
        <v/>
      </c>
      <c r="B199" s="10" t="str">
        <f t="shared" si="54"/>
        <v/>
      </c>
      <c r="C199" s="18" t="str">
        <f t="shared" si="55"/>
        <v/>
      </c>
      <c r="D199" s="4" t="str">
        <f t="shared" si="67"/>
        <v/>
      </c>
      <c r="E199" s="4" t="str">
        <f t="shared" si="56"/>
        <v/>
      </c>
      <c r="F199" s="4" t="str">
        <f t="shared" si="57"/>
        <v/>
      </c>
      <c r="G199" s="4" t="str">
        <f t="shared" si="58"/>
        <v/>
      </c>
      <c r="H199" s="4"/>
      <c r="I199" s="4"/>
      <c r="J199" s="4"/>
      <c r="K199" s="4"/>
      <c r="L199" s="4" t="str">
        <f>IF(A199="","",IF(ISERROR(VLOOKUP(A199,'pagos anticipados'!$A$2:$B$5,2,FALSE)),0,VLOOKUP(A199,'pagos anticipados'!$A$2:B197,2,FALSE)))</f>
        <v/>
      </c>
      <c r="M199" s="4" t="str">
        <f t="shared" ref="M199:M262" si="76">IF(A199="","",AK200-AJ200)</f>
        <v/>
      </c>
      <c r="N199" s="1">
        <f t="shared" ref="N199:N262" si="77">IF(A199="",0,+Q199/(1+$O$5)^(A199/No_pagos_al_año))</f>
        <v>0</v>
      </c>
      <c r="Q199" s="44" t="str">
        <f t="shared" si="59"/>
        <v/>
      </c>
      <c r="R199" s="44" t="str">
        <f t="shared" si="68"/>
        <v/>
      </c>
      <c r="S199" s="44" t="str">
        <f t="shared" si="60"/>
        <v/>
      </c>
      <c r="U199" s="42" t="str">
        <f t="shared" si="69"/>
        <v/>
      </c>
      <c r="V199" s="41" t="str">
        <f t="shared" si="70"/>
        <v/>
      </c>
      <c r="W199" s="41" t="str">
        <f t="shared" si="75"/>
        <v/>
      </c>
      <c r="Y199" s="35" t="str">
        <f t="shared" si="61"/>
        <v/>
      </c>
      <c r="Z199" s="34" t="str">
        <f t="shared" si="71"/>
        <v/>
      </c>
      <c r="AA199" s="34" t="str">
        <f t="shared" ref="AA199:AA262" si="78">IF(A199="","",+Z199-F199-G199)</f>
        <v/>
      </c>
      <c r="AC199" s="36" t="str">
        <f t="shared" si="62"/>
        <v/>
      </c>
      <c r="AE199" s="37">
        <f t="shared" si="63"/>
        <v>0</v>
      </c>
      <c r="AG199" s="56" t="str">
        <f t="shared" si="72"/>
        <v/>
      </c>
      <c r="AH199" s="57" t="str">
        <f t="shared" si="64"/>
        <v/>
      </c>
      <c r="AI199" s="57" t="str">
        <f t="shared" si="73"/>
        <v/>
      </c>
      <c r="AJ199" s="57" t="str">
        <f t="shared" si="65"/>
        <v/>
      </c>
      <c r="AK199" s="57" t="str">
        <f t="shared" si="74"/>
        <v/>
      </c>
    </row>
    <row r="200" spans="1:37">
      <c r="A200" s="2" t="str">
        <f t="shared" si="66"/>
        <v/>
      </c>
      <c r="B200" s="10" t="str">
        <f t="shared" ref="B200:B263" si="79">IF(A200="","",IF($A$2="mensual",30,IF($A$2="quincenal",15,IF($A$2="catorcenal",14,IF($A$2="decenal",10,IF($A$2="semanal",7))))))</f>
        <v/>
      </c>
      <c r="C200" s="18" t="str">
        <f t="shared" ref="C200:C263" si="80">IF(A200="","",$D$2/360*B200)</f>
        <v/>
      </c>
      <c r="D200" s="4" t="str">
        <f t="shared" si="67"/>
        <v/>
      </c>
      <c r="E200" s="4" t="str">
        <f t="shared" ref="E200:E263" si="81">IF(A200="","",IF(S200&gt;R200,R200,IF(AND($L$368=0,D201&lt;=0),R200,S200)))</f>
        <v/>
      </c>
      <c r="F200" s="4" t="str">
        <f t="shared" ref="F200:F263" si="82">IF(A200="","",D200*C200)</f>
        <v/>
      </c>
      <c r="G200" s="4" t="str">
        <f t="shared" ref="G200:G263" si="83">IF(A200="","",F200*$F$2)</f>
        <v/>
      </c>
      <c r="H200" s="4"/>
      <c r="I200" s="4"/>
      <c r="J200" s="4"/>
      <c r="K200" s="4"/>
      <c r="L200" s="4" t="str">
        <f>IF(A200="","",IF(ISERROR(VLOOKUP(A200,'pagos anticipados'!$A$2:$B$5,2,FALSE)),0,VLOOKUP(A200,'pagos anticipados'!$A$2:B198,2,FALSE)))</f>
        <v/>
      </c>
      <c r="M200" s="4" t="str">
        <f t="shared" si="76"/>
        <v/>
      </c>
      <c r="N200" s="1">
        <f t="shared" si="77"/>
        <v>0</v>
      </c>
      <c r="Q200" s="44" t="str">
        <f t="shared" ref="Q200:Q263" si="84">IF(A200="","",AK201-AJ201)</f>
        <v/>
      </c>
      <c r="R200" s="44" t="str">
        <f t="shared" si="68"/>
        <v/>
      </c>
      <c r="S200" s="44" t="str">
        <f t="shared" ref="S200:S263" si="85">IF(A200="","",IF($G$2="PLAZO Y PAGO",W200,IF($G$2="PAGO",AA200,IF($G$2="PLAZO",AC200,0))))</f>
        <v/>
      </c>
      <c r="U200" s="42" t="str">
        <f t="shared" si="69"/>
        <v/>
      </c>
      <c r="V200" s="41" t="str">
        <f t="shared" si="70"/>
        <v/>
      </c>
      <c r="W200" s="41" t="str">
        <f t="shared" si="75"/>
        <v/>
      </c>
      <c r="Y200" s="35" t="str">
        <f t="shared" ref="Y200:Y263" si="86">IF(A200="","",Y199-1)</f>
        <v/>
      </c>
      <c r="Z200" s="34" t="str">
        <f t="shared" si="71"/>
        <v/>
      </c>
      <c r="AA200" s="34" t="str">
        <f t="shared" si="78"/>
        <v/>
      </c>
      <c r="AC200" s="36" t="str">
        <f t="shared" ref="AC200:AC263" si="87">IF(A200="","",PAGO_FIJO-F200-G200)</f>
        <v/>
      </c>
      <c r="AE200" s="37">
        <f t="shared" ref="AE200:AE263" si="88">IF(AND(A200&lt;=Total_pagos,D200&gt;0),1,0)</f>
        <v>0</v>
      </c>
      <c r="AG200" s="56" t="str">
        <f t="shared" si="72"/>
        <v/>
      </c>
      <c r="AH200" s="57" t="str">
        <f t="shared" ref="AH200:AH263" si="89">IF(A199="","",+AG200*Tasa_del_período_sin_iva)</f>
        <v/>
      </c>
      <c r="AI200" s="57" t="str">
        <f t="shared" si="73"/>
        <v/>
      </c>
      <c r="AJ200" s="57" t="str">
        <f t="shared" ref="AJ200:AJ263" si="90">IF(A199="","",AH200*I.V.A.)</f>
        <v/>
      </c>
      <c r="AK200" s="57" t="str">
        <f t="shared" si="74"/>
        <v/>
      </c>
    </row>
    <row r="201" spans="1:37">
      <c r="A201" s="2" t="str">
        <f t="shared" ref="A201:A264" si="91">IF(OR(A200&gt;=$K$4,A200=""),"",A200+1)</f>
        <v/>
      </c>
      <c r="B201" s="10" t="str">
        <f t="shared" si="79"/>
        <v/>
      </c>
      <c r="C201" s="18" t="str">
        <f t="shared" si="80"/>
        <v/>
      </c>
      <c r="D201" s="4" t="str">
        <f t="shared" ref="D201:D264" si="92">IF(A201="","",R201)</f>
        <v/>
      </c>
      <c r="E201" s="4" t="str">
        <f t="shared" si="81"/>
        <v/>
      </c>
      <c r="F201" s="4" t="str">
        <f t="shared" si="82"/>
        <v/>
      </c>
      <c r="G201" s="4" t="str">
        <f t="shared" si="83"/>
        <v/>
      </c>
      <c r="H201" s="4"/>
      <c r="I201" s="4"/>
      <c r="J201" s="4"/>
      <c r="K201" s="4"/>
      <c r="L201" s="4" t="str">
        <f>IF(A201="","",IF(ISERROR(VLOOKUP(A201,'pagos anticipados'!$A$2:$B$5,2,FALSE)),0,VLOOKUP(A201,'pagos anticipados'!$A$2:B199,2,FALSE)))</f>
        <v/>
      </c>
      <c r="M201" s="4" t="str">
        <f t="shared" si="76"/>
        <v/>
      </c>
      <c r="N201" s="1">
        <f t="shared" si="77"/>
        <v>0</v>
      </c>
      <c r="Q201" s="44" t="str">
        <f t="shared" si="84"/>
        <v/>
      </c>
      <c r="R201" s="44" t="str">
        <f t="shared" ref="R201:R264" si="93">IF(A201="","",IF((R200-S200-L200)&lt;=0,0,(+R200-S200-L200)))</f>
        <v/>
      </c>
      <c r="S201" s="44" t="str">
        <f t="shared" si="85"/>
        <v/>
      </c>
      <c r="U201" s="42" t="str">
        <f t="shared" ref="U201:U264" si="94">IF(A201="","",U200-(PAGO_FIJO-V200))</f>
        <v/>
      </c>
      <c r="V201" s="41" t="str">
        <f t="shared" ref="V201:V264" si="95">IF(A201="","",+U201*Tasa_del_período_sin_iva*(1+I.V.A.))</f>
        <v/>
      </c>
      <c r="W201" s="41" t="str">
        <f t="shared" si="75"/>
        <v/>
      </c>
      <c r="Y201" s="35" t="str">
        <f t="shared" si="86"/>
        <v/>
      </c>
      <c r="Z201" s="34" t="str">
        <f t="shared" ref="Z201:Z264" si="96">IF(A201="","",IF(L200=0,Z200,PMT((Tasa_anual_sin_iva*(1+I.V.A.))/No_pagos_al_año,Y201,-R201)-(R201*(Tasa_anual_sin_iva*(1+I.V.A.))/No_pagos_al_año)+(R201*Tasa_del_período_sin_iva*(1+I.V.A.))))</f>
        <v/>
      </c>
      <c r="AA201" s="34" t="str">
        <f t="shared" si="78"/>
        <v/>
      </c>
      <c r="AC201" s="36" t="str">
        <f t="shared" si="87"/>
        <v/>
      </c>
      <c r="AE201" s="37">
        <f t="shared" si="88"/>
        <v>0</v>
      </c>
      <c r="AG201" s="56" t="str">
        <f t="shared" ref="AG201:AG264" si="97">IF(A200="","",AG200-AI200)</f>
        <v/>
      </c>
      <c r="AH201" s="57" t="str">
        <f t="shared" si="89"/>
        <v/>
      </c>
      <c r="AI201" s="57" t="str">
        <f t="shared" ref="AI201:AI264" si="98">IF(A200="","",IF($AK$8-AH201-AJ201&gt;AG201,AG201,$AK$8-AH201-AJ201))</f>
        <v/>
      </c>
      <c r="AJ201" s="57" t="str">
        <f t="shared" si="90"/>
        <v/>
      </c>
      <c r="AK201" s="57" t="str">
        <f t="shared" ref="AK201:AK264" si="99">IF(A200="","",+AH201+AI201+AJ201)</f>
        <v/>
      </c>
    </row>
    <row r="202" spans="1:37">
      <c r="A202" s="2" t="str">
        <f t="shared" si="91"/>
        <v/>
      </c>
      <c r="B202" s="10" t="str">
        <f t="shared" si="79"/>
        <v/>
      </c>
      <c r="C202" s="18" t="str">
        <f t="shared" si="80"/>
        <v/>
      </c>
      <c r="D202" s="4" t="str">
        <f t="shared" si="92"/>
        <v/>
      </c>
      <c r="E202" s="4" t="str">
        <f t="shared" si="81"/>
        <v/>
      </c>
      <c r="F202" s="4" t="str">
        <f t="shared" si="82"/>
        <v/>
      </c>
      <c r="G202" s="4" t="str">
        <f t="shared" si="83"/>
        <v/>
      </c>
      <c r="H202" s="4"/>
      <c r="I202" s="4"/>
      <c r="J202" s="4"/>
      <c r="K202" s="4"/>
      <c r="L202" s="4" t="str">
        <f>IF(A202="","",IF(ISERROR(VLOOKUP(A202,'pagos anticipados'!$A$2:$B$5,2,FALSE)),0,VLOOKUP(A202,'pagos anticipados'!$A$2:B200,2,FALSE)))</f>
        <v/>
      </c>
      <c r="M202" s="4" t="str">
        <f t="shared" si="76"/>
        <v/>
      </c>
      <c r="N202" s="1">
        <f t="shared" si="77"/>
        <v>0</v>
      </c>
      <c r="Q202" s="44" t="str">
        <f t="shared" si="84"/>
        <v/>
      </c>
      <c r="R202" s="44" t="str">
        <f t="shared" si="93"/>
        <v/>
      </c>
      <c r="S202" s="44" t="str">
        <f t="shared" si="85"/>
        <v/>
      </c>
      <c r="U202" s="42" t="str">
        <f t="shared" si="94"/>
        <v/>
      </c>
      <c r="V202" s="41" t="str">
        <f t="shared" si="95"/>
        <v/>
      </c>
      <c r="W202" s="41" t="str">
        <f t="shared" si="75"/>
        <v/>
      </c>
      <c r="Y202" s="35" t="str">
        <f t="shared" si="86"/>
        <v/>
      </c>
      <c r="Z202" s="34" t="str">
        <f t="shared" si="96"/>
        <v/>
      </c>
      <c r="AA202" s="34" t="str">
        <f t="shared" si="78"/>
        <v/>
      </c>
      <c r="AC202" s="36" t="str">
        <f t="shared" si="87"/>
        <v/>
      </c>
      <c r="AE202" s="37">
        <f t="shared" si="88"/>
        <v>0</v>
      </c>
      <c r="AG202" s="56" t="str">
        <f t="shared" si="97"/>
        <v/>
      </c>
      <c r="AH202" s="57" t="str">
        <f t="shared" si="89"/>
        <v/>
      </c>
      <c r="AI202" s="57" t="str">
        <f t="shared" si="98"/>
        <v/>
      </c>
      <c r="AJ202" s="57" t="str">
        <f t="shared" si="90"/>
        <v/>
      </c>
      <c r="AK202" s="57" t="str">
        <f t="shared" si="99"/>
        <v/>
      </c>
    </row>
    <row r="203" spans="1:37">
      <c r="A203" s="2" t="str">
        <f t="shared" si="91"/>
        <v/>
      </c>
      <c r="B203" s="10" t="str">
        <f t="shared" si="79"/>
        <v/>
      </c>
      <c r="C203" s="18" t="str">
        <f t="shared" si="80"/>
        <v/>
      </c>
      <c r="D203" s="4" t="str">
        <f t="shared" si="92"/>
        <v/>
      </c>
      <c r="E203" s="4" t="str">
        <f t="shared" si="81"/>
        <v/>
      </c>
      <c r="F203" s="4" t="str">
        <f t="shared" si="82"/>
        <v/>
      </c>
      <c r="G203" s="4" t="str">
        <f t="shared" si="83"/>
        <v/>
      </c>
      <c r="H203" s="4"/>
      <c r="I203" s="4"/>
      <c r="J203" s="4"/>
      <c r="K203" s="4"/>
      <c r="L203" s="4" t="str">
        <f>IF(A203="","",IF(ISERROR(VLOOKUP(A203,'pagos anticipados'!$A$2:$B$5,2,FALSE)),0,VLOOKUP(A203,'pagos anticipados'!$A$2:B201,2,FALSE)))</f>
        <v/>
      </c>
      <c r="M203" s="4" t="str">
        <f t="shared" si="76"/>
        <v/>
      </c>
      <c r="N203" s="1">
        <f t="shared" si="77"/>
        <v>0</v>
      </c>
      <c r="Q203" s="44" t="str">
        <f t="shared" si="84"/>
        <v/>
      </c>
      <c r="R203" s="44" t="str">
        <f t="shared" si="93"/>
        <v/>
      </c>
      <c r="S203" s="44" t="str">
        <f t="shared" si="85"/>
        <v/>
      </c>
      <c r="U203" s="42" t="str">
        <f t="shared" si="94"/>
        <v/>
      </c>
      <c r="V203" s="41" t="str">
        <f t="shared" si="95"/>
        <v/>
      </c>
      <c r="W203" s="41" t="str">
        <f t="shared" si="75"/>
        <v/>
      </c>
      <c r="Y203" s="35" t="str">
        <f t="shared" si="86"/>
        <v/>
      </c>
      <c r="Z203" s="34" t="str">
        <f t="shared" si="96"/>
        <v/>
      </c>
      <c r="AA203" s="34" t="str">
        <f t="shared" si="78"/>
        <v/>
      </c>
      <c r="AC203" s="36" t="str">
        <f t="shared" si="87"/>
        <v/>
      </c>
      <c r="AE203" s="37">
        <f t="shared" si="88"/>
        <v>0</v>
      </c>
      <c r="AG203" s="56" t="str">
        <f t="shared" si="97"/>
        <v/>
      </c>
      <c r="AH203" s="57" t="str">
        <f t="shared" si="89"/>
        <v/>
      </c>
      <c r="AI203" s="57" t="str">
        <f t="shared" si="98"/>
        <v/>
      </c>
      <c r="AJ203" s="57" t="str">
        <f t="shared" si="90"/>
        <v/>
      </c>
      <c r="AK203" s="57" t="str">
        <f t="shared" si="99"/>
        <v/>
      </c>
    </row>
    <row r="204" spans="1:37">
      <c r="A204" s="2" t="str">
        <f t="shared" si="91"/>
        <v/>
      </c>
      <c r="B204" s="10" t="str">
        <f t="shared" si="79"/>
        <v/>
      </c>
      <c r="C204" s="18" t="str">
        <f t="shared" si="80"/>
        <v/>
      </c>
      <c r="D204" s="4" t="str">
        <f t="shared" si="92"/>
        <v/>
      </c>
      <c r="E204" s="4" t="str">
        <f t="shared" si="81"/>
        <v/>
      </c>
      <c r="F204" s="4" t="str">
        <f t="shared" si="82"/>
        <v/>
      </c>
      <c r="G204" s="4" t="str">
        <f t="shared" si="83"/>
        <v/>
      </c>
      <c r="H204" s="4"/>
      <c r="I204" s="4"/>
      <c r="J204" s="4"/>
      <c r="K204" s="4"/>
      <c r="L204" s="4" t="str">
        <f>IF(A204="","",IF(ISERROR(VLOOKUP(A204,'pagos anticipados'!$A$2:$B$5,2,FALSE)),0,VLOOKUP(A204,'pagos anticipados'!$A$2:B202,2,FALSE)))</f>
        <v/>
      </c>
      <c r="M204" s="4" t="str">
        <f t="shared" si="76"/>
        <v/>
      </c>
      <c r="N204" s="1">
        <f t="shared" si="77"/>
        <v>0</v>
      </c>
      <c r="Q204" s="44" t="str">
        <f t="shared" si="84"/>
        <v/>
      </c>
      <c r="R204" s="44" t="str">
        <f t="shared" si="93"/>
        <v/>
      </c>
      <c r="S204" s="44" t="str">
        <f t="shared" si="85"/>
        <v/>
      </c>
      <c r="U204" s="42" t="str">
        <f t="shared" si="94"/>
        <v/>
      </c>
      <c r="V204" s="41" t="str">
        <f t="shared" si="95"/>
        <v/>
      </c>
      <c r="W204" s="41" t="str">
        <f t="shared" si="75"/>
        <v/>
      </c>
      <c r="Y204" s="35" t="str">
        <f t="shared" si="86"/>
        <v/>
      </c>
      <c r="Z204" s="34" t="str">
        <f t="shared" si="96"/>
        <v/>
      </c>
      <c r="AA204" s="34" t="str">
        <f t="shared" si="78"/>
        <v/>
      </c>
      <c r="AC204" s="36" t="str">
        <f t="shared" si="87"/>
        <v/>
      </c>
      <c r="AE204" s="37">
        <f t="shared" si="88"/>
        <v>0</v>
      </c>
      <c r="AG204" s="56" t="str">
        <f t="shared" si="97"/>
        <v/>
      </c>
      <c r="AH204" s="57" t="str">
        <f t="shared" si="89"/>
        <v/>
      </c>
      <c r="AI204" s="57" t="str">
        <f t="shared" si="98"/>
        <v/>
      </c>
      <c r="AJ204" s="57" t="str">
        <f t="shared" si="90"/>
        <v/>
      </c>
      <c r="AK204" s="57" t="str">
        <f t="shared" si="99"/>
        <v/>
      </c>
    </row>
    <row r="205" spans="1:37">
      <c r="A205" s="2" t="str">
        <f t="shared" si="91"/>
        <v/>
      </c>
      <c r="B205" s="10" t="str">
        <f t="shared" si="79"/>
        <v/>
      </c>
      <c r="C205" s="18" t="str">
        <f t="shared" si="80"/>
        <v/>
      </c>
      <c r="D205" s="4" t="str">
        <f t="shared" si="92"/>
        <v/>
      </c>
      <c r="E205" s="4" t="str">
        <f t="shared" si="81"/>
        <v/>
      </c>
      <c r="F205" s="4" t="str">
        <f t="shared" si="82"/>
        <v/>
      </c>
      <c r="G205" s="4" t="str">
        <f t="shared" si="83"/>
        <v/>
      </c>
      <c r="H205" s="4"/>
      <c r="I205" s="4"/>
      <c r="J205" s="4"/>
      <c r="K205" s="4"/>
      <c r="L205" s="4" t="str">
        <f>IF(A205="","",IF(ISERROR(VLOOKUP(A205,'pagos anticipados'!$A$2:$B$5,2,FALSE)),0,VLOOKUP(A205,'pagos anticipados'!$A$2:B203,2,FALSE)))</f>
        <v/>
      </c>
      <c r="M205" s="4" t="str">
        <f t="shared" si="76"/>
        <v/>
      </c>
      <c r="N205" s="1">
        <f t="shared" si="77"/>
        <v>0</v>
      </c>
      <c r="Q205" s="44" t="str">
        <f t="shared" si="84"/>
        <v/>
      </c>
      <c r="R205" s="44" t="str">
        <f t="shared" si="93"/>
        <v/>
      </c>
      <c r="S205" s="44" t="str">
        <f t="shared" si="85"/>
        <v/>
      </c>
      <c r="U205" s="42" t="str">
        <f t="shared" si="94"/>
        <v/>
      </c>
      <c r="V205" s="41" t="str">
        <f t="shared" si="95"/>
        <v/>
      </c>
      <c r="W205" s="41" t="str">
        <f t="shared" si="75"/>
        <v/>
      </c>
      <c r="Y205" s="35" t="str">
        <f t="shared" si="86"/>
        <v/>
      </c>
      <c r="Z205" s="34" t="str">
        <f t="shared" si="96"/>
        <v/>
      </c>
      <c r="AA205" s="34" t="str">
        <f t="shared" si="78"/>
        <v/>
      </c>
      <c r="AC205" s="36" t="str">
        <f t="shared" si="87"/>
        <v/>
      </c>
      <c r="AE205" s="37">
        <f t="shared" si="88"/>
        <v>0</v>
      </c>
      <c r="AG205" s="56" t="str">
        <f t="shared" si="97"/>
        <v/>
      </c>
      <c r="AH205" s="57" t="str">
        <f t="shared" si="89"/>
        <v/>
      </c>
      <c r="AI205" s="57" t="str">
        <f t="shared" si="98"/>
        <v/>
      </c>
      <c r="AJ205" s="57" t="str">
        <f t="shared" si="90"/>
        <v/>
      </c>
      <c r="AK205" s="57" t="str">
        <f t="shared" si="99"/>
        <v/>
      </c>
    </row>
    <row r="206" spans="1:37">
      <c r="A206" s="2" t="str">
        <f t="shared" si="91"/>
        <v/>
      </c>
      <c r="B206" s="10" t="str">
        <f t="shared" si="79"/>
        <v/>
      </c>
      <c r="C206" s="18" t="str">
        <f t="shared" si="80"/>
        <v/>
      </c>
      <c r="D206" s="4" t="str">
        <f t="shared" si="92"/>
        <v/>
      </c>
      <c r="E206" s="4" t="str">
        <f t="shared" si="81"/>
        <v/>
      </c>
      <c r="F206" s="4" t="str">
        <f t="shared" si="82"/>
        <v/>
      </c>
      <c r="G206" s="4" t="str">
        <f t="shared" si="83"/>
        <v/>
      </c>
      <c r="H206" s="4"/>
      <c r="I206" s="4"/>
      <c r="J206" s="4"/>
      <c r="K206" s="4"/>
      <c r="L206" s="4" t="str">
        <f>IF(A206="","",IF(ISERROR(VLOOKUP(A206,'pagos anticipados'!$A$2:$B$5,2,FALSE)),0,VLOOKUP(A206,'pagos anticipados'!$A$2:B204,2,FALSE)))</f>
        <v/>
      </c>
      <c r="M206" s="4" t="str">
        <f t="shared" si="76"/>
        <v/>
      </c>
      <c r="N206" s="1">
        <f t="shared" si="77"/>
        <v>0</v>
      </c>
      <c r="Q206" s="44" t="str">
        <f t="shared" si="84"/>
        <v/>
      </c>
      <c r="R206" s="44" t="str">
        <f t="shared" si="93"/>
        <v/>
      </c>
      <c r="S206" s="44" t="str">
        <f t="shared" si="85"/>
        <v/>
      </c>
      <c r="U206" s="42" t="str">
        <f t="shared" si="94"/>
        <v/>
      </c>
      <c r="V206" s="41" t="str">
        <f t="shared" si="95"/>
        <v/>
      </c>
      <c r="W206" s="41" t="str">
        <f t="shared" si="75"/>
        <v/>
      </c>
      <c r="Y206" s="35" t="str">
        <f t="shared" si="86"/>
        <v/>
      </c>
      <c r="Z206" s="34" t="str">
        <f t="shared" si="96"/>
        <v/>
      </c>
      <c r="AA206" s="34" t="str">
        <f t="shared" si="78"/>
        <v/>
      </c>
      <c r="AC206" s="36" t="str">
        <f t="shared" si="87"/>
        <v/>
      </c>
      <c r="AE206" s="37">
        <f t="shared" si="88"/>
        <v>0</v>
      </c>
      <c r="AG206" s="56" t="str">
        <f t="shared" si="97"/>
        <v/>
      </c>
      <c r="AH206" s="57" t="str">
        <f t="shared" si="89"/>
        <v/>
      </c>
      <c r="AI206" s="57" t="str">
        <f t="shared" si="98"/>
        <v/>
      </c>
      <c r="AJ206" s="57" t="str">
        <f t="shared" si="90"/>
        <v/>
      </c>
      <c r="AK206" s="57" t="str">
        <f t="shared" si="99"/>
        <v/>
      </c>
    </row>
    <row r="207" spans="1:37">
      <c r="A207" s="2" t="str">
        <f t="shared" si="91"/>
        <v/>
      </c>
      <c r="B207" s="10" t="str">
        <f t="shared" si="79"/>
        <v/>
      </c>
      <c r="C207" s="18" t="str">
        <f t="shared" si="80"/>
        <v/>
      </c>
      <c r="D207" s="4" t="str">
        <f t="shared" si="92"/>
        <v/>
      </c>
      <c r="E207" s="4" t="str">
        <f t="shared" si="81"/>
        <v/>
      </c>
      <c r="F207" s="4" t="str">
        <f t="shared" si="82"/>
        <v/>
      </c>
      <c r="G207" s="4" t="str">
        <f t="shared" si="83"/>
        <v/>
      </c>
      <c r="H207" s="4"/>
      <c r="I207" s="4"/>
      <c r="J207" s="4"/>
      <c r="K207" s="4"/>
      <c r="L207" s="4" t="str">
        <f>IF(A207="","",IF(ISERROR(VLOOKUP(A207,'pagos anticipados'!$A$2:$B$5,2,FALSE)),0,VLOOKUP(A207,'pagos anticipados'!$A$2:B205,2,FALSE)))</f>
        <v/>
      </c>
      <c r="M207" s="4" t="str">
        <f t="shared" si="76"/>
        <v/>
      </c>
      <c r="N207" s="1">
        <f t="shared" si="77"/>
        <v>0</v>
      </c>
      <c r="Q207" s="44" t="str">
        <f t="shared" si="84"/>
        <v/>
      </c>
      <c r="R207" s="44" t="str">
        <f t="shared" si="93"/>
        <v/>
      </c>
      <c r="S207" s="44" t="str">
        <f t="shared" si="85"/>
        <v/>
      </c>
      <c r="U207" s="42" t="str">
        <f t="shared" si="94"/>
        <v/>
      </c>
      <c r="V207" s="41" t="str">
        <f t="shared" si="95"/>
        <v/>
      </c>
      <c r="W207" s="41" t="str">
        <f t="shared" si="75"/>
        <v/>
      </c>
      <c r="Y207" s="35" t="str">
        <f t="shared" si="86"/>
        <v/>
      </c>
      <c r="Z207" s="34" t="str">
        <f t="shared" si="96"/>
        <v/>
      </c>
      <c r="AA207" s="34" t="str">
        <f t="shared" si="78"/>
        <v/>
      </c>
      <c r="AC207" s="36" t="str">
        <f t="shared" si="87"/>
        <v/>
      </c>
      <c r="AE207" s="37">
        <f t="shared" si="88"/>
        <v>0</v>
      </c>
      <c r="AG207" s="56" t="str">
        <f t="shared" si="97"/>
        <v/>
      </c>
      <c r="AH207" s="57" t="str">
        <f t="shared" si="89"/>
        <v/>
      </c>
      <c r="AI207" s="57" t="str">
        <f t="shared" si="98"/>
        <v/>
      </c>
      <c r="AJ207" s="57" t="str">
        <f t="shared" si="90"/>
        <v/>
      </c>
      <c r="AK207" s="57" t="str">
        <f t="shared" si="99"/>
        <v/>
      </c>
    </row>
    <row r="208" spans="1:37">
      <c r="A208" s="2" t="str">
        <f t="shared" si="91"/>
        <v/>
      </c>
      <c r="B208" s="10" t="str">
        <f t="shared" si="79"/>
        <v/>
      </c>
      <c r="C208" s="18" t="str">
        <f t="shared" si="80"/>
        <v/>
      </c>
      <c r="D208" s="4" t="str">
        <f t="shared" si="92"/>
        <v/>
      </c>
      <c r="E208" s="4" t="str">
        <f t="shared" si="81"/>
        <v/>
      </c>
      <c r="F208" s="4" t="str">
        <f t="shared" si="82"/>
        <v/>
      </c>
      <c r="G208" s="4" t="str">
        <f t="shared" si="83"/>
        <v/>
      </c>
      <c r="H208" s="4"/>
      <c r="I208" s="4"/>
      <c r="J208" s="4"/>
      <c r="K208" s="4"/>
      <c r="L208" s="4" t="str">
        <f>IF(A208="","",IF(ISERROR(VLOOKUP(A208,'pagos anticipados'!$A$2:$B$5,2,FALSE)),0,VLOOKUP(A208,'pagos anticipados'!$A$2:B206,2,FALSE)))</f>
        <v/>
      </c>
      <c r="M208" s="4" t="str">
        <f t="shared" si="76"/>
        <v/>
      </c>
      <c r="N208" s="1">
        <f t="shared" si="77"/>
        <v>0</v>
      </c>
      <c r="Q208" s="44" t="str">
        <f t="shared" si="84"/>
        <v/>
      </c>
      <c r="R208" s="44" t="str">
        <f t="shared" si="93"/>
        <v/>
      </c>
      <c r="S208" s="44" t="str">
        <f t="shared" si="85"/>
        <v/>
      </c>
      <c r="U208" s="42" t="str">
        <f t="shared" si="94"/>
        <v/>
      </c>
      <c r="V208" s="41" t="str">
        <f t="shared" si="95"/>
        <v/>
      </c>
      <c r="W208" s="41" t="str">
        <f t="shared" si="75"/>
        <v/>
      </c>
      <c r="Y208" s="35" t="str">
        <f t="shared" si="86"/>
        <v/>
      </c>
      <c r="Z208" s="34" t="str">
        <f t="shared" si="96"/>
        <v/>
      </c>
      <c r="AA208" s="34" t="str">
        <f t="shared" si="78"/>
        <v/>
      </c>
      <c r="AC208" s="36" t="str">
        <f t="shared" si="87"/>
        <v/>
      </c>
      <c r="AE208" s="37">
        <f t="shared" si="88"/>
        <v>0</v>
      </c>
      <c r="AG208" s="56" t="str">
        <f t="shared" si="97"/>
        <v/>
      </c>
      <c r="AH208" s="57" t="str">
        <f t="shared" si="89"/>
        <v/>
      </c>
      <c r="AI208" s="57" t="str">
        <f t="shared" si="98"/>
        <v/>
      </c>
      <c r="AJ208" s="57" t="str">
        <f t="shared" si="90"/>
        <v/>
      </c>
      <c r="AK208" s="57" t="str">
        <f t="shared" si="99"/>
        <v/>
      </c>
    </row>
    <row r="209" spans="1:37">
      <c r="A209" s="2" t="str">
        <f t="shared" si="91"/>
        <v/>
      </c>
      <c r="B209" s="10" t="str">
        <f t="shared" si="79"/>
        <v/>
      </c>
      <c r="C209" s="18" t="str">
        <f t="shared" si="80"/>
        <v/>
      </c>
      <c r="D209" s="4" t="str">
        <f t="shared" si="92"/>
        <v/>
      </c>
      <c r="E209" s="4" t="str">
        <f t="shared" si="81"/>
        <v/>
      </c>
      <c r="F209" s="4" t="str">
        <f t="shared" si="82"/>
        <v/>
      </c>
      <c r="G209" s="4" t="str">
        <f t="shared" si="83"/>
        <v/>
      </c>
      <c r="H209" s="4"/>
      <c r="I209" s="4"/>
      <c r="J209" s="4"/>
      <c r="K209" s="4"/>
      <c r="L209" s="4" t="str">
        <f>IF(A209="","",IF(ISERROR(VLOOKUP(A209,'pagos anticipados'!$A$2:$B$5,2,FALSE)),0,VLOOKUP(A209,'pagos anticipados'!$A$2:B207,2,FALSE)))</f>
        <v/>
      </c>
      <c r="M209" s="4" t="str">
        <f t="shared" si="76"/>
        <v/>
      </c>
      <c r="N209" s="1">
        <f t="shared" si="77"/>
        <v>0</v>
      </c>
      <c r="Q209" s="44" t="str">
        <f t="shared" si="84"/>
        <v/>
      </c>
      <c r="R209" s="44" t="str">
        <f t="shared" si="93"/>
        <v/>
      </c>
      <c r="S209" s="44" t="str">
        <f t="shared" si="85"/>
        <v/>
      </c>
      <c r="U209" s="42" t="str">
        <f t="shared" si="94"/>
        <v/>
      </c>
      <c r="V209" s="41" t="str">
        <f t="shared" si="95"/>
        <v/>
      </c>
      <c r="W209" s="41" t="str">
        <f t="shared" si="75"/>
        <v/>
      </c>
      <c r="Y209" s="35" t="str">
        <f t="shared" si="86"/>
        <v/>
      </c>
      <c r="Z209" s="34" t="str">
        <f t="shared" si="96"/>
        <v/>
      </c>
      <c r="AA209" s="34" t="str">
        <f t="shared" si="78"/>
        <v/>
      </c>
      <c r="AC209" s="36" t="str">
        <f t="shared" si="87"/>
        <v/>
      </c>
      <c r="AE209" s="37">
        <f t="shared" si="88"/>
        <v>0</v>
      </c>
      <c r="AG209" s="56" t="str">
        <f t="shared" si="97"/>
        <v/>
      </c>
      <c r="AH209" s="57" t="str">
        <f t="shared" si="89"/>
        <v/>
      </c>
      <c r="AI209" s="57" t="str">
        <f t="shared" si="98"/>
        <v/>
      </c>
      <c r="AJ209" s="57" t="str">
        <f t="shared" si="90"/>
        <v/>
      </c>
      <c r="AK209" s="57" t="str">
        <f t="shared" si="99"/>
        <v/>
      </c>
    </row>
    <row r="210" spans="1:37">
      <c r="A210" s="2" t="str">
        <f t="shared" si="91"/>
        <v/>
      </c>
      <c r="B210" s="10" t="str">
        <f t="shared" si="79"/>
        <v/>
      </c>
      <c r="C210" s="18" t="str">
        <f t="shared" si="80"/>
        <v/>
      </c>
      <c r="D210" s="4" t="str">
        <f t="shared" si="92"/>
        <v/>
      </c>
      <c r="E210" s="4" t="str">
        <f t="shared" si="81"/>
        <v/>
      </c>
      <c r="F210" s="4" t="str">
        <f t="shared" si="82"/>
        <v/>
      </c>
      <c r="G210" s="4" t="str">
        <f t="shared" si="83"/>
        <v/>
      </c>
      <c r="H210" s="4"/>
      <c r="I210" s="4"/>
      <c r="J210" s="4"/>
      <c r="K210" s="4"/>
      <c r="L210" s="4" t="str">
        <f>IF(A210="","",IF(ISERROR(VLOOKUP(A210,'pagos anticipados'!$A$2:$B$5,2,FALSE)),0,VLOOKUP(A210,'pagos anticipados'!$A$2:B208,2,FALSE)))</f>
        <v/>
      </c>
      <c r="M210" s="4" t="str">
        <f t="shared" si="76"/>
        <v/>
      </c>
      <c r="N210" s="1">
        <f t="shared" si="77"/>
        <v>0</v>
      </c>
      <c r="Q210" s="44" t="str">
        <f t="shared" si="84"/>
        <v/>
      </c>
      <c r="R210" s="44" t="str">
        <f t="shared" si="93"/>
        <v/>
      </c>
      <c r="S210" s="44" t="str">
        <f t="shared" si="85"/>
        <v/>
      </c>
      <c r="U210" s="42" t="str">
        <f t="shared" si="94"/>
        <v/>
      </c>
      <c r="V210" s="41" t="str">
        <f t="shared" si="95"/>
        <v/>
      </c>
      <c r="W210" s="41" t="str">
        <f t="shared" si="75"/>
        <v/>
      </c>
      <c r="Y210" s="35" t="str">
        <f t="shared" si="86"/>
        <v/>
      </c>
      <c r="Z210" s="34" t="str">
        <f t="shared" si="96"/>
        <v/>
      </c>
      <c r="AA210" s="34" t="str">
        <f t="shared" si="78"/>
        <v/>
      </c>
      <c r="AC210" s="36" t="str">
        <f t="shared" si="87"/>
        <v/>
      </c>
      <c r="AE210" s="37">
        <f t="shared" si="88"/>
        <v>0</v>
      </c>
      <c r="AG210" s="56" t="str">
        <f t="shared" si="97"/>
        <v/>
      </c>
      <c r="AH210" s="57" t="str">
        <f t="shared" si="89"/>
        <v/>
      </c>
      <c r="AI210" s="57" t="str">
        <f t="shared" si="98"/>
        <v/>
      </c>
      <c r="AJ210" s="57" t="str">
        <f t="shared" si="90"/>
        <v/>
      </c>
      <c r="AK210" s="57" t="str">
        <f t="shared" si="99"/>
        <v/>
      </c>
    </row>
    <row r="211" spans="1:37">
      <c r="A211" s="2" t="str">
        <f t="shared" si="91"/>
        <v/>
      </c>
      <c r="B211" s="10" t="str">
        <f t="shared" si="79"/>
        <v/>
      </c>
      <c r="C211" s="18" t="str">
        <f t="shared" si="80"/>
        <v/>
      </c>
      <c r="D211" s="4" t="str">
        <f t="shared" si="92"/>
        <v/>
      </c>
      <c r="E211" s="4" t="str">
        <f t="shared" si="81"/>
        <v/>
      </c>
      <c r="F211" s="4" t="str">
        <f t="shared" si="82"/>
        <v/>
      </c>
      <c r="G211" s="4" t="str">
        <f t="shared" si="83"/>
        <v/>
      </c>
      <c r="H211" s="4"/>
      <c r="I211" s="4"/>
      <c r="J211" s="4"/>
      <c r="K211" s="4"/>
      <c r="L211" s="4" t="str">
        <f>IF(A211="","",IF(ISERROR(VLOOKUP(A211,'pagos anticipados'!$A$2:$B$5,2,FALSE)),0,VLOOKUP(A211,'pagos anticipados'!$A$2:B209,2,FALSE)))</f>
        <v/>
      </c>
      <c r="M211" s="4" t="str">
        <f t="shared" si="76"/>
        <v/>
      </c>
      <c r="N211" s="1">
        <f t="shared" si="77"/>
        <v>0</v>
      </c>
      <c r="Q211" s="44" t="str">
        <f t="shared" si="84"/>
        <v/>
      </c>
      <c r="R211" s="44" t="str">
        <f t="shared" si="93"/>
        <v/>
      </c>
      <c r="S211" s="44" t="str">
        <f t="shared" si="85"/>
        <v/>
      </c>
      <c r="U211" s="42" t="str">
        <f t="shared" si="94"/>
        <v/>
      </c>
      <c r="V211" s="41" t="str">
        <f t="shared" si="95"/>
        <v/>
      </c>
      <c r="W211" s="41" t="str">
        <f t="shared" si="75"/>
        <v/>
      </c>
      <c r="Y211" s="35" t="str">
        <f t="shared" si="86"/>
        <v/>
      </c>
      <c r="Z211" s="34" t="str">
        <f t="shared" si="96"/>
        <v/>
      </c>
      <c r="AA211" s="34" t="str">
        <f t="shared" si="78"/>
        <v/>
      </c>
      <c r="AC211" s="36" t="str">
        <f t="shared" si="87"/>
        <v/>
      </c>
      <c r="AE211" s="37">
        <f t="shared" si="88"/>
        <v>0</v>
      </c>
      <c r="AG211" s="56" t="str">
        <f t="shared" si="97"/>
        <v/>
      </c>
      <c r="AH211" s="57" t="str">
        <f t="shared" si="89"/>
        <v/>
      </c>
      <c r="AI211" s="57" t="str">
        <f t="shared" si="98"/>
        <v/>
      </c>
      <c r="AJ211" s="57" t="str">
        <f t="shared" si="90"/>
        <v/>
      </c>
      <c r="AK211" s="57" t="str">
        <f t="shared" si="99"/>
        <v/>
      </c>
    </row>
    <row r="212" spans="1:37">
      <c r="A212" s="2" t="str">
        <f t="shared" si="91"/>
        <v/>
      </c>
      <c r="B212" s="10" t="str">
        <f t="shared" si="79"/>
        <v/>
      </c>
      <c r="C212" s="18" t="str">
        <f t="shared" si="80"/>
        <v/>
      </c>
      <c r="D212" s="4" t="str">
        <f t="shared" si="92"/>
        <v/>
      </c>
      <c r="E212" s="4" t="str">
        <f t="shared" si="81"/>
        <v/>
      </c>
      <c r="F212" s="4" t="str">
        <f t="shared" si="82"/>
        <v/>
      </c>
      <c r="G212" s="4" t="str">
        <f t="shared" si="83"/>
        <v/>
      </c>
      <c r="H212" s="4"/>
      <c r="I212" s="4"/>
      <c r="J212" s="4"/>
      <c r="K212" s="4"/>
      <c r="L212" s="4" t="str">
        <f>IF(A212="","",IF(ISERROR(VLOOKUP(A212,'pagos anticipados'!$A$2:$B$5,2,FALSE)),0,VLOOKUP(A212,'pagos anticipados'!$A$2:B210,2,FALSE)))</f>
        <v/>
      </c>
      <c r="M212" s="4" t="str">
        <f t="shared" si="76"/>
        <v/>
      </c>
      <c r="N212" s="1">
        <f t="shared" si="77"/>
        <v>0</v>
      </c>
      <c r="Q212" s="44" t="str">
        <f t="shared" si="84"/>
        <v/>
      </c>
      <c r="R212" s="44" t="str">
        <f t="shared" si="93"/>
        <v/>
      </c>
      <c r="S212" s="44" t="str">
        <f t="shared" si="85"/>
        <v/>
      </c>
      <c r="U212" s="42" t="str">
        <f t="shared" si="94"/>
        <v/>
      </c>
      <c r="V212" s="41" t="str">
        <f t="shared" si="95"/>
        <v/>
      </c>
      <c r="W212" s="41" t="str">
        <f t="shared" si="75"/>
        <v/>
      </c>
      <c r="Y212" s="35" t="str">
        <f t="shared" si="86"/>
        <v/>
      </c>
      <c r="Z212" s="34" t="str">
        <f t="shared" si="96"/>
        <v/>
      </c>
      <c r="AA212" s="34" t="str">
        <f t="shared" si="78"/>
        <v/>
      </c>
      <c r="AC212" s="36" t="str">
        <f t="shared" si="87"/>
        <v/>
      </c>
      <c r="AE212" s="37">
        <f t="shared" si="88"/>
        <v>0</v>
      </c>
      <c r="AG212" s="56" t="str">
        <f t="shared" si="97"/>
        <v/>
      </c>
      <c r="AH212" s="57" t="str">
        <f t="shared" si="89"/>
        <v/>
      </c>
      <c r="AI212" s="57" t="str">
        <f t="shared" si="98"/>
        <v/>
      </c>
      <c r="AJ212" s="57" t="str">
        <f t="shared" si="90"/>
        <v/>
      </c>
      <c r="AK212" s="57" t="str">
        <f t="shared" si="99"/>
        <v/>
      </c>
    </row>
    <row r="213" spans="1:37">
      <c r="A213" s="2" t="str">
        <f t="shared" si="91"/>
        <v/>
      </c>
      <c r="B213" s="10" t="str">
        <f t="shared" si="79"/>
        <v/>
      </c>
      <c r="C213" s="18" t="str">
        <f t="shared" si="80"/>
        <v/>
      </c>
      <c r="D213" s="4" t="str">
        <f t="shared" si="92"/>
        <v/>
      </c>
      <c r="E213" s="4" t="str">
        <f t="shared" si="81"/>
        <v/>
      </c>
      <c r="F213" s="4" t="str">
        <f t="shared" si="82"/>
        <v/>
      </c>
      <c r="G213" s="4" t="str">
        <f t="shared" si="83"/>
        <v/>
      </c>
      <c r="H213" s="4"/>
      <c r="I213" s="4"/>
      <c r="J213" s="4"/>
      <c r="K213" s="4"/>
      <c r="L213" s="4" t="str">
        <f>IF(A213="","",IF(ISERROR(VLOOKUP(A213,'pagos anticipados'!$A$2:$B$5,2,FALSE)),0,VLOOKUP(A213,'pagos anticipados'!$A$2:B211,2,FALSE)))</f>
        <v/>
      </c>
      <c r="M213" s="4" t="str">
        <f t="shared" si="76"/>
        <v/>
      </c>
      <c r="N213" s="1">
        <f t="shared" si="77"/>
        <v>0</v>
      </c>
      <c r="Q213" s="44" t="str">
        <f t="shared" si="84"/>
        <v/>
      </c>
      <c r="R213" s="44" t="str">
        <f t="shared" si="93"/>
        <v/>
      </c>
      <c r="S213" s="44" t="str">
        <f t="shared" si="85"/>
        <v/>
      </c>
      <c r="U213" s="42" t="str">
        <f t="shared" si="94"/>
        <v/>
      </c>
      <c r="V213" s="41" t="str">
        <f t="shared" si="95"/>
        <v/>
      </c>
      <c r="W213" s="41" t="str">
        <f t="shared" si="75"/>
        <v/>
      </c>
      <c r="Y213" s="35" t="str">
        <f t="shared" si="86"/>
        <v/>
      </c>
      <c r="Z213" s="34" t="str">
        <f t="shared" si="96"/>
        <v/>
      </c>
      <c r="AA213" s="34" t="str">
        <f t="shared" si="78"/>
        <v/>
      </c>
      <c r="AC213" s="36" t="str">
        <f t="shared" si="87"/>
        <v/>
      </c>
      <c r="AE213" s="37">
        <f t="shared" si="88"/>
        <v>0</v>
      </c>
      <c r="AG213" s="56" t="str">
        <f t="shared" si="97"/>
        <v/>
      </c>
      <c r="AH213" s="57" t="str">
        <f t="shared" si="89"/>
        <v/>
      </c>
      <c r="AI213" s="57" t="str">
        <f t="shared" si="98"/>
        <v/>
      </c>
      <c r="AJ213" s="57" t="str">
        <f t="shared" si="90"/>
        <v/>
      </c>
      <c r="AK213" s="57" t="str">
        <f t="shared" si="99"/>
        <v/>
      </c>
    </row>
    <row r="214" spans="1:37">
      <c r="A214" s="2" t="str">
        <f t="shared" si="91"/>
        <v/>
      </c>
      <c r="B214" s="10" t="str">
        <f t="shared" si="79"/>
        <v/>
      </c>
      <c r="C214" s="18" t="str">
        <f t="shared" si="80"/>
        <v/>
      </c>
      <c r="D214" s="4" t="str">
        <f t="shared" si="92"/>
        <v/>
      </c>
      <c r="E214" s="4" t="str">
        <f t="shared" si="81"/>
        <v/>
      </c>
      <c r="F214" s="4" t="str">
        <f t="shared" si="82"/>
        <v/>
      </c>
      <c r="G214" s="4" t="str">
        <f t="shared" si="83"/>
        <v/>
      </c>
      <c r="H214" s="4"/>
      <c r="I214" s="4"/>
      <c r="J214" s="4"/>
      <c r="K214" s="4"/>
      <c r="L214" s="4" t="str">
        <f>IF(A214="","",IF(ISERROR(VLOOKUP(A214,'pagos anticipados'!$A$2:$B$5,2,FALSE)),0,VLOOKUP(A214,'pagos anticipados'!$A$2:B212,2,FALSE)))</f>
        <v/>
      </c>
      <c r="M214" s="4" t="str">
        <f t="shared" si="76"/>
        <v/>
      </c>
      <c r="N214" s="1">
        <f t="shared" si="77"/>
        <v>0</v>
      </c>
      <c r="Q214" s="44" t="str">
        <f t="shared" si="84"/>
        <v/>
      </c>
      <c r="R214" s="44" t="str">
        <f t="shared" si="93"/>
        <v/>
      </c>
      <c r="S214" s="44" t="str">
        <f t="shared" si="85"/>
        <v/>
      </c>
      <c r="U214" s="42" t="str">
        <f t="shared" si="94"/>
        <v/>
      </c>
      <c r="V214" s="41" t="str">
        <f t="shared" si="95"/>
        <v/>
      </c>
      <c r="W214" s="41" t="str">
        <f t="shared" si="75"/>
        <v/>
      </c>
      <c r="Y214" s="35" t="str">
        <f t="shared" si="86"/>
        <v/>
      </c>
      <c r="Z214" s="34" t="str">
        <f t="shared" si="96"/>
        <v/>
      </c>
      <c r="AA214" s="34" t="str">
        <f t="shared" si="78"/>
        <v/>
      </c>
      <c r="AC214" s="36" t="str">
        <f t="shared" si="87"/>
        <v/>
      </c>
      <c r="AE214" s="37">
        <f t="shared" si="88"/>
        <v>0</v>
      </c>
      <c r="AG214" s="56" t="str">
        <f t="shared" si="97"/>
        <v/>
      </c>
      <c r="AH214" s="57" t="str">
        <f t="shared" si="89"/>
        <v/>
      </c>
      <c r="AI214" s="57" t="str">
        <f t="shared" si="98"/>
        <v/>
      </c>
      <c r="AJ214" s="57" t="str">
        <f t="shared" si="90"/>
        <v/>
      </c>
      <c r="AK214" s="57" t="str">
        <f t="shared" si="99"/>
        <v/>
      </c>
    </row>
    <row r="215" spans="1:37">
      <c r="A215" s="2" t="str">
        <f t="shared" si="91"/>
        <v/>
      </c>
      <c r="B215" s="10" t="str">
        <f t="shared" si="79"/>
        <v/>
      </c>
      <c r="C215" s="18" t="str">
        <f t="shared" si="80"/>
        <v/>
      </c>
      <c r="D215" s="4" t="str">
        <f t="shared" si="92"/>
        <v/>
      </c>
      <c r="E215" s="4" t="str">
        <f t="shared" si="81"/>
        <v/>
      </c>
      <c r="F215" s="4" t="str">
        <f t="shared" si="82"/>
        <v/>
      </c>
      <c r="G215" s="4" t="str">
        <f t="shared" si="83"/>
        <v/>
      </c>
      <c r="H215" s="4"/>
      <c r="I215" s="4"/>
      <c r="J215" s="4"/>
      <c r="K215" s="4"/>
      <c r="L215" s="4" t="str">
        <f>IF(A215="","",IF(ISERROR(VLOOKUP(A215,'pagos anticipados'!$A$2:$B$5,2,FALSE)),0,VLOOKUP(A215,'pagos anticipados'!$A$2:B213,2,FALSE)))</f>
        <v/>
      </c>
      <c r="M215" s="4" t="str">
        <f t="shared" si="76"/>
        <v/>
      </c>
      <c r="N215" s="1">
        <f t="shared" si="77"/>
        <v>0</v>
      </c>
      <c r="Q215" s="44" t="str">
        <f t="shared" si="84"/>
        <v/>
      </c>
      <c r="R215" s="44" t="str">
        <f t="shared" si="93"/>
        <v/>
      </c>
      <c r="S215" s="44" t="str">
        <f t="shared" si="85"/>
        <v/>
      </c>
      <c r="U215" s="42" t="str">
        <f t="shared" si="94"/>
        <v/>
      </c>
      <c r="V215" s="41" t="str">
        <f t="shared" si="95"/>
        <v/>
      </c>
      <c r="W215" s="41" t="str">
        <f t="shared" si="75"/>
        <v/>
      </c>
      <c r="Y215" s="35" t="str">
        <f t="shared" si="86"/>
        <v/>
      </c>
      <c r="Z215" s="34" t="str">
        <f t="shared" si="96"/>
        <v/>
      </c>
      <c r="AA215" s="34" t="str">
        <f t="shared" si="78"/>
        <v/>
      </c>
      <c r="AC215" s="36" t="str">
        <f t="shared" si="87"/>
        <v/>
      </c>
      <c r="AE215" s="37">
        <f t="shared" si="88"/>
        <v>0</v>
      </c>
      <c r="AG215" s="56" t="str">
        <f t="shared" si="97"/>
        <v/>
      </c>
      <c r="AH215" s="57" t="str">
        <f t="shared" si="89"/>
        <v/>
      </c>
      <c r="AI215" s="57" t="str">
        <f t="shared" si="98"/>
        <v/>
      </c>
      <c r="AJ215" s="57" t="str">
        <f t="shared" si="90"/>
        <v/>
      </c>
      <c r="AK215" s="57" t="str">
        <f t="shared" si="99"/>
        <v/>
      </c>
    </row>
    <row r="216" spans="1:37">
      <c r="A216" s="2" t="str">
        <f t="shared" si="91"/>
        <v/>
      </c>
      <c r="B216" s="10" t="str">
        <f t="shared" si="79"/>
        <v/>
      </c>
      <c r="C216" s="18" t="str">
        <f t="shared" si="80"/>
        <v/>
      </c>
      <c r="D216" s="4" t="str">
        <f t="shared" si="92"/>
        <v/>
      </c>
      <c r="E216" s="4" t="str">
        <f t="shared" si="81"/>
        <v/>
      </c>
      <c r="F216" s="4" t="str">
        <f t="shared" si="82"/>
        <v/>
      </c>
      <c r="G216" s="4" t="str">
        <f t="shared" si="83"/>
        <v/>
      </c>
      <c r="H216" s="4"/>
      <c r="I216" s="4"/>
      <c r="J216" s="4"/>
      <c r="K216" s="4"/>
      <c r="L216" s="4" t="str">
        <f>IF(A216="","",IF(ISERROR(VLOOKUP(A216,'pagos anticipados'!$A$2:$B$5,2,FALSE)),0,VLOOKUP(A216,'pagos anticipados'!$A$2:B214,2,FALSE)))</f>
        <v/>
      </c>
      <c r="M216" s="4" t="str">
        <f t="shared" si="76"/>
        <v/>
      </c>
      <c r="N216" s="1">
        <f t="shared" si="77"/>
        <v>0</v>
      </c>
      <c r="Q216" s="44" t="str">
        <f t="shared" si="84"/>
        <v/>
      </c>
      <c r="R216" s="44" t="str">
        <f t="shared" si="93"/>
        <v/>
      </c>
      <c r="S216" s="44" t="str">
        <f t="shared" si="85"/>
        <v/>
      </c>
      <c r="U216" s="42" t="str">
        <f t="shared" si="94"/>
        <v/>
      </c>
      <c r="V216" s="41" t="str">
        <f t="shared" si="95"/>
        <v/>
      </c>
      <c r="W216" s="41" t="str">
        <f t="shared" si="75"/>
        <v/>
      </c>
      <c r="Y216" s="35" t="str">
        <f t="shared" si="86"/>
        <v/>
      </c>
      <c r="Z216" s="34" t="str">
        <f t="shared" si="96"/>
        <v/>
      </c>
      <c r="AA216" s="34" t="str">
        <f t="shared" si="78"/>
        <v/>
      </c>
      <c r="AC216" s="36" t="str">
        <f t="shared" si="87"/>
        <v/>
      </c>
      <c r="AE216" s="37">
        <f t="shared" si="88"/>
        <v>0</v>
      </c>
      <c r="AG216" s="56" t="str">
        <f t="shared" si="97"/>
        <v/>
      </c>
      <c r="AH216" s="57" t="str">
        <f t="shared" si="89"/>
        <v/>
      </c>
      <c r="AI216" s="57" t="str">
        <f t="shared" si="98"/>
        <v/>
      </c>
      <c r="AJ216" s="57" t="str">
        <f t="shared" si="90"/>
        <v/>
      </c>
      <c r="AK216" s="57" t="str">
        <f t="shared" si="99"/>
        <v/>
      </c>
    </row>
    <row r="217" spans="1:37">
      <c r="A217" s="2" t="str">
        <f t="shared" si="91"/>
        <v/>
      </c>
      <c r="B217" s="10" t="str">
        <f t="shared" si="79"/>
        <v/>
      </c>
      <c r="C217" s="18" t="str">
        <f t="shared" si="80"/>
        <v/>
      </c>
      <c r="D217" s="4" t="str">
        <f t="shared" si="92"/>
        <v/>
      </c>
      <c r="E217" s="4" t="str">
        <f t="shared" si="81"/>
        <v/>
      </c>
      <c r="F217" s="4" t="str">
        <f t="shared" si="82"/>
        <v/>
      </c>
      <c r="G217" s="4" t="str">
        <f t="shared" si="83"/>
        <v/>
      </c>
      <c r="H217" s="4"/>
      <c r="I217" s="4"/>
      <c r="J217" s="4"/>
      <c r="K217" s="4"/>
      <c r="L217" s="4" t="str">
        <f>IF(A217="","",IF(ISERROR(VLOOKUP(A217,'pagos anticipados'!$A$2:$B$5,2,FALSE)),0,VLOOKUP(A217,'pagos anticipados'!$A$2:B215,2,FALSE)))</f>
        <v/>
      </c>
      <c r="M217" s="4" t="str">
        <f t="shared" si="76"/>
        <v/>
      </c>
      <c r="N217" s="1">
        <f t="shared" si="77"/>
        <v>0</v>
      </c>
      <c r="Q217" s="44" t="str">
        <f t="shared" si="84"/>
        <v/>
      </c>
      <c r="R217" s="44" t="str">
        <f t="shared" si="93"/>
        <v/>
      </c>
      <c r="S217" s="44" t="str">
        <f t="shared" si="85"/>
        <v/>
      </c>
      <c r="U217" s="42" t="str">
        <f t="shared" si="94"/>
        <v/>
      </c>
      <c r="V217" s="41" t="str">
        <f t="shared" si="95"/>
        <v/>
      </c>
      <c r="W217" s="41" t="str">
        <f t="shared" si="75"/>
        <v/>
      </c>
      <c r="Y217" s="35" t="str">
        <f t="shared" si="86"/>
        <v/>
      </c>
      <c r="Z217" s="34" t="str">
        <f t="shared" si="96"/>
        <v/>
      </c>
      <c r="AA217" s="34" t="str">
        <f t="shared" si="78"/>
        <v/>
      </c>
      <c r="AC217" s="36" t="str">
        <f t="shared" si="87"/>
        <v/>
      </c>
      <c r="AE217" s="37">
        <f t="shared" si="88"/>
        <v>0</v>
      </c>
      <c r="AG217" s="56" t="str">
        <f t="shared" si="97"/>
        <v/>
      </c>
      <c r="AH217" s="57" t="str">
        <f t="shared" si="89"/>
        <v/>
      </c>
      <c r="AI217" s="57" t="str">
        <f t="shared" si="98"/>
        <v/>
      </c>
      <c r="AJ217" s="57" t="str">
        <f t="shared" si="90"/>
        <v/>
      </c>
      <c r="AK217" s="57" t="str">
        <f t="shared" si="99"/>
        <v/>
      </c>
    </row>
    <row r="218" spans="1:37">
      <c r="A218" s="2" t="str">
        <f t="shared" si="91"/>
        <v/>
      </c>
      <c r="B218" s="10" t="str">
        <f t="shared" si="79"/>
        <v/>
      </c>
      <c r="C218" s="18" t="str">
        <f t="shared" si="80"/>
        <v/>
      </c>
      <c r="D218" s="4" t="str">
        <f t="shared" si="92"/>
        <v/>
      </c>
      <c r="E218" s="4" t="str">
        <f t="shared" si="81"/>
        <v/>
      </c>
      <c r="F218" s="4" t="str">
        <f t="shared" si="82"/>
        <v/>
      </c>
      <c r="G218" s="4" t="str">
        <f t="shared" si="83"/>
        <v/>
      </c>
      <c r="H218" s="4"/>
      <c r="I218" s="4"/>
      <c r="J218" s="4"/>
      <c r="K218" s="4"/>
      <c r="L218" s="4" t="str">
        <f>IF(A218="","",IF(ISERROR(VLOOKUP(A218,'pagos anticipados'!$A$2:$B$5,2,FALSE)),0,VLOOKUP(A218,'pagos anticipados'!$A$2:B216,2,FALSE)))</f>
        <v/>
      </c>
      <c r="M218" s="4" t="str">
        <f t="shared" si="76"/>
        <v/>
      </c>
      <c r="N218" s="1">
        <f t="shared" si="77"/>
        <v>0</v>
      </c>
      <c r="Q218" s="44" t="str">
        <f t="shared" si="84"/>
        <v/>
      </c>
      <c r="R218" s="44" t="str">
        <f t="shared" si="93"/>
        <v/>
      </c>
      <c r="S218" s="44" t="str">
        <f t="shared" si="85"/>
        <v/>
      </c>
      <c r="U218" s="42" t="str">
        <f t="shared" si="94"/>
        <v/>
      </c>
      <c r="V218" s="41" t="str">
        <f t="shared" si="95"/>
        <v/>
      </c>
      <c r="W218" s="41" t="str">
        <f t="shared" si="75"/>
        <v/>
      </c>
      <c r="Y218" s="35" t="str">
        <f t="shared" si="86"/>
        <v/>
      </c>
      <c r="Z218" s="34" t="str">
        <f t="shared" si="96"/>
        <v/>
      </c>
      <c r="AA218" s="34" t="str">
        <f t="shared" si="78"/>
        <v/>
      </c>
      <c r="AC218" s="36" t="str">
        <f t="shared" si="87"/>
        <v/>
      </c>
      <c r="AE218" s="37">
        <f t="shared" si="88"/>
        <v>0</v>
      </c>
      <c r="AG218" s="56" t="str">
        <f t="shared" si="97"/>
        <v/>
      </c>
      <c r="AH218" s="57" t="str">
        <f t="shared" si="89"/>
        <v/>
      </c>
      <c r="AI218" s="57" t="str">
        <f t="shared" si="98"/>
        <v/>
      </c>
      <c r="AJ218" s="57" t="str">
        <f t="shared" si="90"/>
        <v/>
      </c>
      <c r="AK218" s="57" t="str">
        <f t="shared" si="99"/>
        <v/>
      </c>
    </row>
    <row r="219" spans="1:37">
      <c r="A219" s="2" t="str">
        <f t="shared" si="91"/>
        <v/>
      </c>
      <c r="B219" s="10" t="str">
        <f t="shared" si="79"/>
        <v/>
      </c>
      <c r="C219" s="18" t="str">
        <f t="shared" si="80"/>
        <v/>
      </c>
      <c r="D219" s="4" t="str">
        <f t="shared" si="92"/>
        <v/>
      </c>
      <c r="E219" s="4" t="str">
        <f t="shared" si="81"/>
        <v/>
      </c>
      <c r="F219" s="4" t="str">
        <f t="shared" si="82"/>
        <v/>
      </c>
      <c r="G219" s="4" t="str">
        <f t="shared" si="83"/>
        <v/>
      </c>
      <c r="H219" s="4"/>
      <c r="I219" s="4"/>
      <c r="J219" s="4"/>
      <c r="K219" s="4"/>
      <c r="L219" s="4" t="str">
        <f>IF(A219="","",IF(ISERROR(VLOOKUP(A219,'pagos anticipados'!$A$2:$B$5,2,FALSE)),0,VLOOKUP(A219,'pagos anticipados'!$A$2:B217,2,FALSE)))</f>
        <v/>
      </c>
      <c r="M219" s="4" t="str">
        <f t="shared" si="76"/>
        <v/>
      </c>
      <c r="N219" s="1">
        <f t="shared" si="77"/>
        <v>0</v>
      </c>
      <c r="Q219" s="44" t="str">
        <f t="shared" si="84"/>
        <v/>
      </c>
      <c r="R219" s="44" t="str">
        <f t="shared" si="93"/>
        <v/>
      </c>
      <c r="S219" s="44" t="str">
        <f t="shared" si="85"/>
        <v/>
      </c>
      <c r="U219" s="42" t="str">
        <f t="shared" si="94"/>
        <v/>
      </c>
      <c r="V219" s="41" t="str">
        <f t="shared" si="95"/>
        <v/>
      </c>
      <c r="W219" s="41" t="str">
        <f t="shared" si="75"/>
        <v/>
      </c>
      <c r="Y219" s="35" t="str">
        <f t="shared" si="86"/>
        <v/>
      </c>
      <c r="Z219" s="34" t="str">
        <f t="shared" si="96"/>
        <v/>
      </c>
      <c r="AA219" s="34" t="str">
        <f t="shared" si="78"/>
        <v/>
      </c>
      <c r="AC219" s="36" t="str">
        <f t="shared" si="87"/>
        <v/>
      </c>
      <c r="AE219" s="37">
        <f t="shared" si="88"/>
        <v>0</v>
      </c>
      <c r="AG219" s="56" t="str">
        <f t="shared" si="97"/>
        <v/>
      </c>
      <c r="AH219" s="57" t="str">
        <f t="shared" si="89"/>
        <v/>
      </c>
      <c r="AI219" s="57" t="str">
        <f t="shared" si="98"/>
        <v/>
      </c>
      <c r="AJ219" s="57" t="str">
        <f t="shared" si="90"/>
        <v/>
      </c>
      <c r="AK219" s="57" t="str">
        <f t="shared" si="99"/>
        <v/>
      </c>
    </row>
    <row r="220" spans="1:37">
      <c r="A220" s="2" t="str">
        <f t="shared" si="91"/>
        <v/>
      </c>
      <c r="B220" s="10" t="str">
        <f t="shared" si="79"/>
        <v/>
      </c>
      <c r="C220" s="18" t="str">
        <f t="shared" si="80"/>
        <v/>
      </c>
      <c r="D220" s="4" t="str">
        <f t="shared" si="92"/>
        <v/>
      </c>
      <c r="E220" s="4" t="str">
        <f t="shared" si="81"/>
        <v/>
      </c>
      <c r="F220" s="4" t="str">
        <f t="shared" si="82"/>
        <v/>
      </c>
      <c r="G220" s="4" t="str">
        <f t="shared" si="83"/>
        <v/>
      </c>
      <c r="H220" s="4"/>
      <c r="I220" s="4"/>
      <c r="J220" s="4"/>
      <c r="K220" s="4"/>
      <c r="L220" s="4" t="str">
        <f>IF(A220="","",IF(ISERROR(VLOOKUP(A220,'pagos anticipados'!$A$2:$B$5,2,FALSE)),0,VLOOKUP(A220,'pagos anticipados'!$A$2:B218,2,FALSE)))</f>
        <v/>
      </c>
      <c r="M220" s="4" t="str">
        <f t="shared" si="76"/>
        <v/>
      </c>
      <c r="N220" s="1">
        <f t="shared" si="77"/>
        <v>0</v>
      </c>
      <c r="Q220" s="44" t="str">
        <f t="shared" si="84"/>
        <v/>
      </c>
      <c r="R220" s="44" t="str">
        <f t="shared" si="93"/>
        <v/>
      </c>
      <c r="S220" s="44" t="str">
        <f t="shared" si="85"/>
        <v/>
      </c>
      <c r="U220" s="42" t="str">
        <f t="shared" si="94"/>
        <v/>
      </c>
      <c r="V220" s="41" t="str">
        <f t="shared" si="95"/>
        <v/>
      </c>
      <c r="W220" s="41" t="str">
        <f t="shared" si="75"/>
        <v/>
      </c>
      <c r="Y220" s="35" t="str">
        <f t="shared" si="86"/>
        <v/>
      </c>
      <c r="Z220" s="34" t="str">
        <f t="shared" si="96"/>
        <v/>
      </c>
      <c r="AA220" s="34" t="str">
        <f t="shared" si="78"/>
        <v/>
      </c>
      <c r="AC220" s="36" t="str">
        <f t="shared" si="87"/>
        <v/>
      </c>
      <c r="AE220" s="37">
        <f t="shared" si="88"/>
        <v>0</v>
      </c>
      <c r="AG220" s="56" t="str">
        <f t="shared" si="97"/>
        <v/>
      </c>
      <c r="AH220" s="57" t="str">
        <f t="shared" si="89"/>
        <v/>
      </c>
      <c r="AI220" s="57" t="str">
        <f t="shared" si="98"/>
        <v/>
      </c>
      <c r="AJ220" s="57" t="str">
        <f t="shared" si="90"/>
        <v/>
      </c>
      <c r="AK220" s="57" t="str">
        <f t="shared" si="99"/>
        <v/>
      </c>
    </row>
    <row r="221" spans="1:37">
      <c r="A221" s="2" t="str">
        <f t="shared" si="91"/>
        <v/>
      </c>
      <c r="B221" s="10" t="str">
        <f t="shared" si="79"/>
        <v/>
      </c>
      <c r="C221" s="18" t="str">
        <f t="shared" si="80"/>
        <v/>
      </c>
      <c r="D221" s="4" t="str">
        <f t="shared" si="92"/>
        <v/>
      </c>
      <c r="E221" s="4" t="str">
        <f t="shared" si="81"/>
        <v/>
      </c>
      <c r="F221" s="4" t="str">
        <f t="shared" si="82"/>
        <v/>
      </c>
      <c r="G221" s="4" t="str">
        <f t="shared" si="83"/>
        <v/>
      </c>
      <c r="H221" s="4"/>
      <c r="I221" s="4"/>
      <c r="J221" s="4"/>
      <c r="K221" s="4"/>
      <c r="L221" s="4" t="str">
        <f>IF(A221="","",IF(ISERROR(VLOOKUP(A221,'pagos anticipados'!$A$2:$B$5,2,FALSE)),0,VLOOKUP(A221,'pagos anticipados'!$A$2:B219,2,FALSE)))</f>
        <v/>
      </c>
      <c r="M221" s="4" t="str">
        <f t="shared" si="76"/>
        <v/>
      </c>
      <c r="N221" s="1">
        <f t="shared" si="77"/>
        <v>0</v>
      </c>
      <c r="Q221" s="44" t="str">
        <f t="shared" si="84"/>
        <v/>
      </c>
      <c r="R221" s="44" t="str">
        <f t="shared" si="93"/>
        <v/>
      </c>
      <c r="S221" s="44" t="str">
        <f t="shared" si="85"/>
        <v/>
      </c>
      <c r="U221" s="42" t="str">
        <f t="shared" si="94"/>
        <v/>
      </c>
      <c r="V221" s="41" t="str">
        <f t="shared" si="95"/>
        <v/>
      </c>
      <c r="W221" s="41" t="str">
        <f t="shared" si="75"/>
        <v/>
      </c>
      <c r="Y221" s="35" t="str">
        <f t="shared" si="86"/>
        <v/>
      </c>
      <c r="Z221" s="34" t="str">
        <f t="shared" si="96"/>
        <v/>
      </c>
      <c r="AA221" s="34" t="str">
        <f t="shared" si="78"/>
        <v/>
      </c>
      <c r="AC221" s="36" t="str">
        <f t="shared" si="87"/>
        <v/>
      </c>
      <c r="AE221" s="37">
        <f t="shared" si="88"/>
        <v>0</v>
      </c>
      <c r="AG221" s="56" t="str">
        <f t="shared" si="97"/>
        <v/>
      </c>
      <c r="AH221" s="57" t="str">
        <f t="shared" si="89"/>
        <v/>
      </c>
      <c r="AI221" s="57" t="str">
        <f t="shared" si="98"/>
        <v/>
      </c>
      <c r="AJ221" s="57" t="str">
        <f t="shared" si="90"/>
        <v/>
      </c>
      <c r="AK221" s="57" t="str">
        <f t="shared" si="99"/>
        <v/>
      </c>
    </row>
    <row r="222" spans="1:37">
      <c r="A222" s="2" t="str">
        <f t="shared" si="91"/>
        <v/>
      </c>
      <c r="B222" s="10" t="str">
        <f t="shared" si="79"/>
        <v/>
      </c>
      <c r="C222" s="18" t="str">
        <f t="shared" si="80"/>
        <v/>
      </c>
      <c r="D222" s="4" t="str">
        <f t="shared" si="92"/>
        <v/>
      </c>
      <c r="E222" s="4" t="str">
        <f t="shared" si="81"/>
        <v/>
      </c>
      <c r="F222" s="4" t="str">
        <f t="shared" si="82"/>
        <v/>
      </c>
      <c r="G222" s="4" t="str">
        <f t="shared" si="83"/>
        <v/>
      </c>
      <c r="H222" s="4"/>
      <c r="I222" s="4"/>
      <c r="J222" s="4"/>
      <c r="K222" s="4"/>
      <c r="L222" s="4" t="str">
        <f>IF(A222="","",IF(ISERROR(VLOOKUP(A222,'pagos anticipados'!$A$2:$B$5,2,FALSE)),0,VLOOKUP(A222,'pagos anticipados'!$A$2:B220,2,FALSE)))</f>
        <v/>
      </c>
      <c r="M222" s="4" t="str">
        <f t="shared" si="76"/>
        <v/>
      </c>
      <c r="N222" s="1">
        <f t="shared" si="77"/>
        <v>0</v>
      </c>
      <c r="Q222" s="44" t="str">
        <f t="shared" si="84"/>
        <v/>
      </c>
      <c r="R222" s="44" t="str">
        <f t="shared" si="93"/>
        <v/>
      </c>
      <c r="S222" s="44" t="str">
        <f t="shared" si="85"/>
        <v/>
      </c>
      <c r="U222" s="42" t="str">
        <f t="shared" si="94"/>
        <v/>
      </c>
      <c r="V222" s="41" t="str">
        <f t="shared" si="95"/>
        <v/>
      </c>
      <c r="W222" s="41" t="str">
        <f t="shared" si="75"/>
        <v/>
      </c>
      <c r="Y222" s="35" t="str">
        <f t="shared" si="86"/>
        <v/>
      </c>
      <c r="Z222" s="34" t="str">
        <f t="shared" si="96"/>
        <v/>
      </c>
      <c r="AA222" s="34" t="str">
        <f t="shared" si="78"/>
        <v/>
      </c>
      <c r="AC222" s="36" t="str">
        <f t="shared" si="87"/>
        <v/>
      </c>
      <c r="AE222" s="37">
        <f t="shared" si="88"/>
        <v>0</v>
      </c>
      <c r="AG222" s="56" t="str">
        <f t="shared" si="97"/>
        <v/>
      </c>
      <c r="AH222" s="57" t="str">
        <f t="shared" si="89"/>
        <v/>
      </c>
      <c r="AI222" s="57" t="str">
        <f t="shared" si="98"/>
        <v/>
      </c>
      <c r="AJ222" s="57" t="str">
        <f t="shared" si="90"/>
        <v/>
      </c>
      <c r="AK222" s="57" t="str">
        <f t="shared" si="99"/>
        <v/>
      </c>
    </row>
    <row r="223" spans="1:37">
      <c r="A223" s="2" t="str">
        <f t="shared" si="91"/>
        <v/>
      </c>
      <c r="B223" s="10" t="str">
        <f t="shared" si="79"/>
        <v/>
      </c>
      <c r="C223" s="18" t="str">
        <f t="shared" si="80"/>
        <v/>
      </c>
      <c r="D223" s="4" t="str">
        <f t="shared" si="92"/>
        <v/>
      </c>
      <c r="E223" s="4" t="str">
        <f t="shared" si="81"/>
        <v/>
      </c>
      <c r="F223" s="4" t="str">
        <f t="shared" si="82"/>
        <v/>
      </c>
      <c r="G223" s="4" t="str">
        <f t="shared" si="83"/>
        <v/>
      </c>
      <c r="H223" s="4"/>
      <c r="I223" s="4"/>
      <c r="J223" s="4"/>
      <c r="K223" s="4"/>
      <c r="L223" s="4" t="str">
        <f>IF(A223="","",IF(ISERROR(VLOOKUP(A223,'pagos anticipados'!$A$2:$B$5,2,FALSE)),0,VLOOKUP(A223,'pagos anticipados'!$A$2:B221,2,FALSE)))</f>
        <v/>
      </c>
      <c r="M223" s="4" t="str">
        <f t="shared" si="76"/>
        <v/>
      </c>
      <c r="N223" s="1">
        <f t="shared" si="77"/>
        <v>0</v>
      </c>
      <c r="Q223" s="44" t="str">
        <f t="shared" si="84"/>
        <v/>
      </c>
      <c r="R223" s="44" t="str">
        <f t="shared" si="93"/>
        <v/>
      </c>
      <c r="S223" s="44" t="str">
        <f t="shared" si="85"/>
        <v/>
      </c>
      <c r="U223" s="42" t="str">
        <f t="shared" si="94"/>
        <v/>
      </c>
      <c r="V223" s="41" t="str">
        <f t="shared" si="95"/>
        <v/>
      </c>
      <c r="W223" s="41" t="str">
        <f t="shared" si="75"/>
        <v/>
      </c>
      <c r="Y223" s="35" t="str">
        <f t="shared" si="86"/>
        <v/>
      </c>
      <c r="Z223" s="34" t="str">
        <f t="shared" si="96"/>
        <v/>
      </c>
      <c r="AA223" s="34" t="str">
        <f t="shared" si="78"/>
        <v/>
      </c>
      <c r="AC223" s="36" t="str">
        <f t="shared" si="87"/>
        <v/>
      </c>
      <c r="AE223" s="37">
        <f t="shared" si="88"/>
        <v>0</v>
      </c>
      <c r="AG223" s="56" t="str">
        <f t="shared" si="97"/>
        <v/>
      </c>
      <c r="AH223" s="57" t="str">
        <f t="shared" si="89"/>
        <v/>
      </c>
      <c r="AI223" s="57" t="str">
        <f t="shared" si="98"/>
        <v/>
      </c>
      <c r="AJ223" s="57" t="str">
        <f t="shared" si="90"/>
        <v/>
      </c>
      <c r="AK223" s="57" t="str">
        <f t="shared" si="99"/>
        <v/>
      </c>
    </row>
    <row r="224" spans="1:37">
      <c r="A224" s="2" t="str">
        <f t="shared" si="91"/>
        <v/>
      </c>
      <c r="B224" s="10" t="str">
        <f t="shared" si="79"/>
        <v/>
      </c>
      <c r="C224" s="18" t="str">
        <f t="shared" si="80"/>
        <v/>
      </c>
      <c r="D224" s="4" t="str">
        <f t="shared" si="92"/>
        <v/>
      </c>
      <c r="E224" s="4" t="str">
        <f t="shared" si="81"/>
        <v/>
      </c>
      <c r="F224" s="4" t="str">
        <f t="shared" si="82"/>
        <v/>
      </c>
      <c r="G224" s="4" t="str">
        <f t="shared" si="83"/>
        <v/>
      </c>
      <c r="H224" s="4"/>
      <c r="I224" s="4"/>
      <c r="J224" s="4"/>
      <c r="K224" s="4"/>
      <c r="L224" s="4" t="str">
        <f>IF(A224="","",IF(ISERROR(VLOOKUP(A224,'pagos anticipados'!$A$2:$B$5,2,FALSE)),0,VLOOKUP(A224,'pagos anticipados'!$A$2:B222,2,FALSE)))</f>
        <v/>
      </c>
      <c r="M224" s="4" t="str">
        <f t="shared" si="76"/>
        <v/>
      </c>
      <c r="N224" s="1">
        <f t="shared" si="77"/>
        <v>0</v>
      </c>
      <c r="Q224" s="44" t="str">
        <f t="shared" si="84"/>
        <v/>
      </c>
      <c r="R224" s="44" t="str">
        <f t="shared" si="93"/>
        <v/>
      </c>
      <c r="S224" s="44" t="str">
        <f t="shared" si="85"/>
        <v/>
      </c>
      <c r="U224" s="42" t="str">
        <f t="shared" si="94"/>
        <v/>
      </c>
      <c r="V224" s="41" t="str">
        <f t="shared" si="95"/>
        <v/>
      </c>
      <c r="W224" s="41" t="str">
        <f t="shared" si="75"/>
        <v/>
      </c>
      <c r="Y224" s="35" t="str">
        <f t="shared" si="86"/>
        <v/>
      </c>
      <c r="Z224" s="34" t="str">
        <f t="shared" si="96"/>
        <v/>
      </c>
      <c r="AA224" s="34" t="str">
        <f t="shared" si="78"/>
        <v/>
      </c>
      <c r="AC224" s="36" t="str">
        <f t="shared" si="87"/>
        <v/>
      </c>
      <c r="AE224" s="37">
        <f t="shared" si="88"/>
        <v>0</v>
      </c>
      <c r="AG224" s="56" t="str">
        <f t="shared" si="97"/>
        <v/>
      </c>
      <c r="AH224" s="57" t="str">
        <f t="shared" si="89"/>
        <v/>
      </c>
      <c r="AI224" s="57" t="str">
        <f t="shared" si="98"/>
        <v/>
      </c>
      <c r="AJ224" s="57" t="str">
        <f t="shared" si="90"/>
        <v/>
      </c>
      <c r="AK224" s="57" t="str">
        <f t="shared" si="99"/>
        <v/>
      </c>
    </row>
    <row r="225" spans="1:37">
      <c r="A225" s="2" t="str">
        <f t="shared" si="91"/>
        <v/>
      </c>
      <c r="B225" s="10" t="str">
        <f t="shared" si="79"/>
        <v/>
      </c>
      <c r="C225" s="18" t="str">
        <f t="shared" si="80"/>
        <v/>
      </c>
      <c r="D225" s="4" t="str">
        <f t="shared" si="92"/>
        <v/>
      </c>
      <c r="E225" s="4" t="str">
        <f t="shared" si="81"/>
        <v/>
      </c>
      <c r="F225" s="4" t="str">
        <f t="shared" si="82"/>
        <v/>
      </c>
      <c r="G225" s="4" t="str">
        <f t="shared" si="83"/>
        <v/>
      </c>
      <c r="H225" s="4"/>
      <c r="I225" s="4"/>
      <c r="J225" s="4"/>
      <c r="K225" s="4"/>
      <c r="L225" s="4" t="str">
        <f>IF(A225="","",IF(ISERROR(VLOOKUP(A225,'pagos anticipados'!$A$2:$B$5,2,FALSE)),0,VLOOKUP(A225,'pagos anticipados'!$A$2:B223,2,FALSE)))</f>
        <v/>
      </c>
      <c r="M225" s="4" t="str">
        <f t="shared" si="76"/>
        <v/>
      </c>
      <c r="N225" s="1">
        <f t="shared" si="77"/>
        <v>0</v>
      </c>
      <c r="Q225" s="44" t="str">
        <f t="shared" si="84"/>
        <v/>
      </c>
      <c r="R225" s="44" t="str">
        <f t="shared" si="93"/>
        <v/>
      </c>
      <c r="S225" s="44" t="str">
        <f t="shared" si="85"/>
        <v/>
      </c>
      <c r="U225" s="42" t="str">
        <f t="shared" si="94"/>
        <v/>
      </c>
      <c r="V225" s="41" t="str">
        <f t="shared" si="95"/>
        <v/>
      </c>
      <c r="W225" s="41" t="str">
        <f t="shared" si="75"/>
        <v/>
      </c>
      <c r="Y225" s="35" t="str">
        <f t="shared" si="86"/>
        <v/>
      </c>
      <c r="Z225" s="34" t="str">
        <f t="shared" si="96"/>
        <v/>
      </c>
      <c r="AA225" s="34" t="str">
        <f t="shared" si="78"/>
        <v/>
      </c>
      <c r="AC225" s="36" t="str">
        <f t="shared" si="87"/>
        <v/>
      </c>
      <c r="AE225" s="37">
        <f t="shared" si="88"/>
        <v>0</v>
      </c>
      <c r="AG225" s="56" t="str">
        <f t="shared" si="97"/>
        <v/>
      </c>
      <c r="AH225" s="57" t="str">
        <f t="shared" si="89"/>
        <v/>
      </c>
      <c r="AI225" s="57" t="str">
        <f t="shared" si="98"/>
        <v/>
      </c>
      <c r="AJ225" s="57" t="str">
        <f t="shared" si="90"/>
        <v/>
      </c>
      <c r="AK225" s="57" t="str">
        <f t="shared" si="99"/>
        <v/>
      </c>
    </row>
    <row r="226" spans="1:37">
      <c r="A226" s="2" t="str">
        <f t="shared" si="91"/>
        <v/>
      </c>
      <c r="B226" s="10" t="str">
        <f t="shared" si="79"/>
        <v/>
      </c>
      <c r="C226" s="18" t="str">
        <f t="shared" si="80"/>
        <v/>
      </c>
      <c r="D226" s="4" t="str">
        <f t="shared" si="92"/>
        <v/>
      </c>
      <c r="E226" s="4" t="str">
        <f t="shared" si="81"/>
        <v/>
      </c>
      <c r="F226" s="4" t="str">
        <f t="shared" si="82"/>
        <v/>
      </c>
      <c r="G226" s="4" t="str">
        <f t="shared" si="83"/>
        <v/>
      </c>
      <c r="H226" s="4"/>
      <c r="I226" s="4"/>
      <c r="J226" s="4"/>
      <c r="K226" s="4"/>
      <c r="L226" s="4" t="str">
        <f>IF(A226="","",IF(ISERROR(VLOOKUP(A226,'pagos anticipados'!$A$2:$B$5,2,FALSE)),0,VLOOKUP(A226,'pagos anticipados'!$A$2:B224,2,FALSE)))</f>
        <v/>
      </c>
      <c r="M226" s="4" t="str">
        <f t="shared" si="76"/>
        <v/>
      </c>
      <c r="N226" s="1">
        <f t="shared" si="77"/>
        <v>0</v>
      </c>
      <c r="Q226" s="44" t="str">
        <f t="shared" si="84"/>
        <v/>
      </c>
      <c r="R226" s="44" t="str">
        <f t="shared" si="93"/>
        <v/>
      </c>
      <c r="S226" s="44" t="str">
        <f t="shared" si="85"/>
        <v/>
      </c>
      <c r="U226" s="42" t="str">
        <f t="shared" si="94"/>
        <v/>
      </c>
      <c r="V226" s="41" t="str">
        <f t="shared" si="95"/>
        <v/>
      </c>
      <c r="W226" s="41" t="str">
        <f t="shared" si="75"/>
        <v/>
      </c>
      <c r="Y226" s="35" t="str">
        <f t="shared" si="86"/>
        <v/>
      </c>
      <c r="Z226" s="34" t="str">
        <f t="shared" si="96"/>
        <v/>
      </c>
      <c r="AA226" s="34" t="str">
        <f t="shared" si="78"/>
        <v/>
      </c>
      <c r="AC226" s="36" t="str">
        <f t="shared" si="87"/>
        <v/>
      </c>
      <c r="AE226" s="37">
        <f t="shared" si="88"/>
        <v>0</v>
      </c>
      <c r="AG226" s="56" t="str">
        <f t="shared" si="97"/>
        <v/>
      </c>
      <c r="AH226" s="57" t="str">
        <f t="shared" si="89"/>
        <v/>
      </c>
      <c r="AI226" s="57" t="str">
        <f t="shared" si="98"/>
        <v/>
      </c>
      <c r="AJ226" s="57" t="str">
        <f t="shared" si="90"/>
        <v/>
      </c>
      <c r="AK226" s="57" t="str">
        <f t="shared" si="99"/>
        <v/>
      </c>
    </row>
    <row r="227" spans="1:37">
      <c r="A227" s="2" t="str">
        <f t="shared" si="91"/>
        <v/>
      </c>
      <c r="B227" s="10" t="str">
        <f t="shared" si="79"/>
        <v/>
      </c>
      <c r="C227" s="18" t="str">
        <f t="shared" si="80"/>
        <v/>
      </c>
      <c r="D227" s="4" t="str">
        <f t="shared" si="92"/>
        <v/>
      </c>
      <c r="E227" s="4" t="str">
        <f t="shared" si="81"/>
        <v/>
      </c>
      <c r="F227" s="4" t="str">
        <f t="shared" si="82"/>
        <v/>
      </c>
      <c r="G227" s="4" t="str">
        <f t="shared" si="83"/>
        <v/>
      </c>
      <c r="H227" s="4"/>
      <c r="I227" s="4"/>
      <c r="J227" s="4"/>
      <c r="K227" s="4"/>
      <c r="L227" s="4" t="str">
        <f>IF(A227="","",IF(ISERROR(VLOOKUP(A227,'pagos anticipados'!$A$2:$B$5,2,FALSE)),0,VLOOKUP(A227,'pagos anticipados'!$A$2:B225,2,FALSE)))</f>
        <v/>
      </c>
      <c r="M227" s="4" t="str">
        <f t="shared" si="76"/>
        <v/>
      </c>
      <c r="N227" s="1">
        <f t="shared" si="77"/>
        <v>0</v>
      </c>
      <c r="Q227" s="44" t="str">
        <f t="shared" si="84"/>
        <v/>
      </c>
      <c r="R227" s="44" t="str">
        <f t="shared" si="93"/>
        <v/>
      </c>
      <c r="S227" s="44" t="str">
        <f t="shared" si="85"/>
        <v/>
      </c>
      <c r="U227" s="42" t="str">
        <f t="shared" si="94"/>
        <v/>
      </c>
      <c r="V227" s="41" t="str">
        <f t="shared" si="95"/>
        <v/>
      </c>
      <c r="W227" s="41" t="str">
        <f t="shared" ref="W227:W290" si="100">IF(A227="","",IF(PAGO_FIJO&gt;R227,R227,PAGO_FIJO-V227))</f>
        <v/>
      </c>
      <c r="Y227" s="35" t="str">
        <f t="shared" si="86"/>
        <v/>
      </c>
      <c r="Z227" s="34" t="str">
        <f t="shared" si="96"/>
        <v/>
      </c>
      <c r="AA227" s="34" t="str">
        <f t="shared" si="78"/>
        <v/>
      </c>
      <c r="AC227" s="36" t="str">
        <f t="shared" si="87"/>
        <v/>
      </c>
      <c r="AE227" s="37">
        <f t="shared" si="88"/>
        <v>0</v>
      </c>
      <c r="AG227" s="56" t="str">
        <f t="shared" si="97"/>
        <v/>
      </c>
      <c r="AH227" s="57" t="str">
        <f t="shared" si="89"/>
        <v/>
      </c>
      <c r="AI227" s="57" t="str">
        <f t="shared" si="98"/>
        <v/>
      </c>
      <c r="AJ227" s="57" t="str">
        <f t="shared" si="90"/>
        <v/>
      </c>
      <c r="AK227" s="57" t="str">
        <f t="shared" si="99"/>
        <v/>
      </c>
    </row>
    <row r="228" spans="1:37">
      <c r="A228" s="2" t="str">
        <f t="shared" si="91"/>
        <v/>
      </c>
      <c r="B228" s="10" t="str">
        <f t="shared" si="79"/>
        <v/>
      </c>
      <c r="C228" s="18" t="str">
        <f t="shared" si="80"/>
        <v/>
      </c>
      <c r="D228" s="4" t="str">
        <f t="shared" si="92"/>
        <v/>
      </c>
      <c r="E228" s="4" t="str">
        <f t="shared" si="81"/>
        <v/>
      </c>
      <c r="F228" s="4" t="str">
        <f t="shared" si="82"/>
        <v/>
      </c>
      <c r="G228" s="4" t="str">
        <f t="shared" si="83"/>
        <v/>
      </c>
      <c r="H228" s="4"/>
      <c r="I228" s="4"/>
      <c r="J228" s="4"/>
      <c r="K228" s="4"/>
      <c r="L228" s="4" t="str">
        <f>IF(A228="","",IF(ISERROR(VLOOKUP(A228,'pagos anticipados'!$A$2:$B$5,2,FALSE)),0,VLOOKUP(A228,'pagos anticipados'!$A$2:B226,2,FALSE)))</f>
        <v/>
      </c>
      <c r="M228" s="4" t="str">
        <f t="shared" si="76"/>
        <v/>
      </c>
      <c r="N228" s="1">
        <f t="shared" si="77"/>
        <v>0</v>
      </c>
      <c r="Q228" s="44" t="str">
        <f t="shared" si="84"/>
        <v/>
      </c>
      <c r="R228" s="44" t="str">
        <f t="shared" si="93"/>
        <v/>
      </c>
      <c r="S228" s="44" t="str">
        <f t="shared" si="85"/>
        <v/>
      </c>
      <c r="U228" s="42" t="str">
        <f t="shared" si="94"/>
        <v/>
      </c>
      <c r="V228" s="41" t="str">
        <f t="shared" si="95"/>
        <v/>
      </c>
      <c r="W228" s="41" t="str">
        <f t="shared" si="100"/>
        <v/>
      </c>
      <c r="Y228" s="35" t="str">
        <f t="shared" si="86"/>
        <v/>
      </c>
      <c r="Z228" s="34" t="str">
        <f t="shared" si="96"/>
        <v/>
      </c>
      <c r="AA228" s="34" t="str">
        <f t="shared" si="78"/>
        <v/>
      </c>
      <c r="AC228" s="36" t="str">
        <f t="shared" si="87"/>
        <v/>
      </c>
      <c r="AE228" s="37">
        <f t="shared" si="88"/>
        <v>0</v>
      </c>
      <c r="AG228" s="56" t="str">
        <f t="shared" si="97"/>
        <v/>
      </c>
      <c r="AH228" s="57" t="str">
        <f t="shared" si="89"/>
        <v/>
      </c>
      <c r="AI228" s="57" t="str">
        <f t="shared" si="98"/>
        <v/>
      </c>
      <c r="AJ228" s="57" t="str">
        <f t="shared" si="90"/>
        <v/>
      </c>
      <c r="AK228" s="57" t="str">
        <f t="shared" si="99"/>
        <v/>
      </c>
    </row>
    <row r="229" spans="1:37">
      <c r="A229" s="2" t="str">
        <f t="shared" si="91"/>
        <v/>
      </c>
      <c r="B229" s="10" t="str">
        <f t="shared" si="79"/>
        <v/>
      </c>
      <c r="C229" s="18" t="str">
        <f t="shared" si="80"/>
        <v/>
      </c>
      <c r="D229" s="4" t="str">
        <f t="shared" si="92"/>
        <v/>
      </c>
      <c r="E229" s="4" t="str">
        <f t="shared" si="81"/>
        <v/>
      </c>
      <c r="F229" s="4" t="str">
        <f t="shared" si="82"/>
        <v/>
      </c>
      <c r="G229" s="4" t="str">
        <f t="shared" si="83"/>
        <v/>
      </c>
      <c r="H229" s="4"/>
      <c r="I229" s="4"/>
      <c r="J229" s="4"/>
      <c r="K229" s="4"/>
      <c r="L229" s="4" t="str">
        <f>IF(A229="","",IF(ISERROR(VLOOKUP(A229,'pagos anticipados'!$A$2:$B$5,2,FALSE)),0,VLOOKUP(A229,'pagos anticipados'!$A$2:B227,2,FALSE)))</f>
        <v/>
      </c>
      <c r="M229" s="4" t="str">
        <f t="shared" si="76"/>
        <v/>
      </c>
      <c r="N229" s="1">
        <f t="shared" si="77"/>
        <v>0</v>
      </c>
      <c r="Q229" s="44" t="str">
        <f t="shared" si="84"/>
        <v/>
      </c>
      <c r="R229" s="44" t="str">
        <f t="shared" si="93"/>
        <v/>
      </c>
      <c r="S229" s="44" t="str">
        <f t="shared" si="85"/>
        <v/>
      </c>
      <c r="U229" s="42" t="str">
        <f t="shared" si="94"/>
        <v/>
      </c>
      <c r="V229" s="41" t="str">
        <f t="shared" si="95"/>
        <v/>
      </c>
      <c r="W229" s="41" t="str">
        <f t="shared" si="100"/>
        <v/>
      </c>
      <c r="Y229" s="35" t="str">
        <f t="shared" si="86"/>
        <v/>
      </c>
      <c r="Z229" s="34" t="str">
        <f t="shared" si="96"/>
        <v/>
      </c>
      <c r="AA229" s="34" t="str">
        <f t="shared" si="78"/>
        <v/>
      </c>
      <c r="AC229" s="36" t="str">
        <f t="shared" si="87"/>
        <v/>
      </c>
      <c r="AE229" s="37">
        <f t="shared" si="88"/>
        <v>0</v>
      </c>
      <c r="AG229" s="56" t="str">
        <f t="shared" si="97"/>
        <v/>
      </c>
      <c r="AH229" s="57" t="str">
        <f t="shared" si="89"/>
        <v/>
      </c>
      <c r="AI229" s="57" t="str">
        <f t="shared" si="98"/>
        <v/>
      </c>
      <c r="AJ229" s="57" t="str">
        <f t="shared" si="90"/>
        <v/>
      </c>
      <c r="AK229" s="57" t="str">
        <f t="shared" si="99"/>
        <v/>
      </c>
    </row>
    <row r="230" spans="1:37">
      <c r="A230" s="2" t="str">
        <f t="shared" si="91"/>
        <v/>
      </c>
      <c r="B230" s="10" t="str">
        <f t="shared" si="79"/>
        <v/>
      </c>
      <c r="C230" s="18" t="str">
        <f t="shared" si="80"/>
        <v/>
      </c>
      <c r="D230" s="4" t="str">
        <f t="shared" si="92"/>
        <v/>
      </c>
      <c r="E230" s="4" t="str">
        <f t="shared" si="81"/>
        <v/>
      </c>
      <c r="F230" s="4" t="str">
        <f t="shared" si="82"/>
        <v/>
      </c>
      <c r="G230" s="4" t="str">
        <f t="shared" si="83"/>
        <v/>
      </c>
      <c r="H230" s="4"/>
      <c r="I230" s="4"/>
      <c r="J230" s="4"/>
      <c r="K230" s="4"/>
      <c r="L230" s="4" t="str">
        <f>IF(A230="","",IF(ISERROR(VLOOKUP(A230,'pagos anticipados'!$A$2:$B$5,2,FALSE)),0,VLOOKUP(A230,'pagos anticipados'!$A$2:B228,2,FALSE)))</f>
        <v/>
      </c>
      <c r="M230" s="4" t="str">
        <f t="shared" si="76"/>
        <v/>
      </c>
      <c r="N230" s="1">
        <f t="shared" si="77"/>
        <v>0</v>
      </c>
      <c r="Q230" s="44" t="str">
        <f t="shared" si="84"/>
        <v/>
      </c>
      <c r="R230" s="44" t="str">
        <f t="shared" si="93"/>
        <v/>
      </c>
      <c r="S230" s="44" t="str">
        <f t="shared" si="85"/>
        <v/>
      </c>
      <c r="U230" s="42" t="str">
        <f t="shared" si="94"/>
        <v/>
      </c>
      <c r="V230" s="41" t="str">
        <f t="shared" si="95"/>
        <v/>
      </c>
      <c r="W230" s="41" t="str">
        <f t="shared" si="100"/>
        <v/>
      </c>
      <c r="Y230" s="35" t="str">
        <f t="shared" si="86"/>
        <v/>
      </c>
      <c r="Z230" s="34" t="str">
        <f t="shared" si="96"/>
        <v/>
      </c>
      <c r="AA230" s="34" t="str">
        <f t="shared" si="78"/>
        <v/>
      </c>
      <c r="AC230" s="36" t="str">
        <f t="shared" si="87"/>
        <v/>
      </c>
      <c r="AE230" s="37">
        <f t="shared" si="88"/>
        <v>0</v>
      </c>
      <c r="AG230" s="56" t="str">
        <f t="shared" si="97"/>
        <v/>
      </c>
      <c r="AH230" s="57" t="str">
        <f t="shared" si="89"/>
        <v/>
      </c>
      <c r="AI230" s="57" t="str">
        <f t="shared" si="98"/>
        <v/>
      </c>
      <c r="AJ230" s="57" t="str">
        <f t="shared" si="90"/>
        <v/>
      </c>
      <c r="AK230" s="57" t="str">
        <f t="shared" si="99"/>
        <v/>
      </c>
    </row>
    <row r="231" spans="1:37">
      <c r="A231" s="2" t="str">
        <f t="shared" si="91"/>
        <v/>
      </c>
      <c r="B231" s="10" t="str">
        <f t="shared" si="79"/>
        <v/>
      </c>
      <c r="C231" s="18" t="str">
        <f t="shared" si="80"/>
        <v/>
      </c>
      <c r="D231" s="4" t="str">
        <f t="shared" si="92"/>
        <v/>
      </c>
      <c r="E231" s="4" t="str">
        <f t="shared" si="81"/>
        <v/>
      </c>
      <c r="F231" s="4" t="str">
        <f t="shared" si="82"/>
        <v/>
      </c>
      <c r="G231" s="4" t="str">
        <f t="shared" si="83"/>
        <v/>
      </c>
      <c r="H231" s="4"/>
      <c r="I231" s="4"/>
      <c r="J231" s="4"/>
      <c r="K231" s="4"/>
      <c r="L231" s="4" t="str">
        <f>IF(A231="","",IF(ISERROR(VLOOKUP(A231,'pagos anticipados'!$A$2:$B$5,2,FALSE)),0,VLOOKUP(A231,'pagos anticipados'!$A$2:B229,2,FALSE)))</f>
        <v/>
      </c>
      <c r="M231" s="4" t="str">
        <f t="shared" si="76"/>
        <v/>
      </c>
      <c r="N231" s="1">
        <f t="shared" si="77"/>
        <v>0</v>
      </c>
      <c r="Q231" s="44" t="str">
        <f t="shared" si="84"/>
        <v/>
      </c>
      <c r="R231" s="44" t="str">
        <f t="shared" si="93"/>
        <v/>
      </c>
      <c r="S231" s="44" t="str">
        <f t="shared" si="85"/>
        <v/>
      </c>
      <c r="U231" s="42" t="str">
        <f t="shared" si="94"/>
        <v/>
      </c>
      <c r="V231" s="41" t="str">
        <f t="shared" si="95"/>
        <v/>
      </c>
      <c r="W231" s="41" t="str">
        <f t="shared" si="100"/>
        <v/>
      </c>
      <c r="Y231" s="35" t="str">
        <f t="shared" si="86"/>
        <v/>
      </c>
      <c r="Z231" s="34" t="str">
        <f t="shared" si="96"/>
        <v/>
      </c>
      <c r="AA231" s="34" t="str">
        <f t="shared" si="78"/>
        <v/>
      </c>
      <c r="AC231" s="36" t="str">
        <f t="shared" si="87"/>
        <v/>
      </c>
      <c r="AE231" s="37">
        <f t="shared" si="88"/>
        <v>0</v>
      </c>
      <c r="AG231" s="56" t="str">
        <f t="shared" si="97"/>
        <v/>
      </c>
      <c r="AH231" s="57" t="str">
        <f t="shared" si="89"/>
        <v/>
      </c>
      <c r="AI231" s="57" t="str">
        <f t="shared" si="98"/>
        <v/>
      </c>
      <c r="AJ231" s="57" t="str">
        <f t="shared" si="90"/>
        <v/>
      </c>
      <c r="AK231" s="57" t="str">
        <f t="shared" si="99"/>
        <v/>
      </c>
    </row>
    <row r="232" spans="1:37">
      <c r="A232" s="2" t="str">
        <f t="shared" si="91"/>
        <v/>
      </c>
      <c r="B232" s="10" t="str">
        <f t="shared" si="79"/>
        <v/>
      </c>
      <c r="C232" s="18" t="str">
        <f t="shared" si="80"/>
        <v/>
      </c>
      <c r="D232" s="4" t="str">
        <f t="shared" si="92"/>
        <v/>
      </c>
      <c r="E232" s="4" t="str">
        <f t="shared" si="81"/>
        <v/>
      </c>
      <c r="F232" s="4" t="str">
        <f t="shared" si="82"/>
        <v/>
      </c>
      <c r="G232" s="4" t="str">
        <f t="shared" si="83"/>
        <v/>
      </c>
      <c r="H232" s="4"/>
      <c r="I232" s="4"/>
      <c r="J232" s="4"/>
      <c r="K232" s="4"/>
      <c r="L232" s="4" t="str">
        <f>IF(A232="","",IF(ISERROR(VLOOKUP(A232,'pagos anticipados'!$A$2:$B$5,2,FALSE)),0,VLOOKUP(A232,'pagos anticipados'!$A$2:B230,2,FALSE)))</f>
        <v/>
      </c>
      <c r="M232" s="4" t="str">
        <f t="shared" si="76"/>
        <v/>
      </c>
      <c r="N232" s="1">
        <f t="shared" si="77"/>
        <v>0</v>
      </c>
      <c r="Q232" s="44" t="str">
        <f t="shared" si="84"/>
        <v/>
      </c>
      <c r="R232" s="44" t="str">
        <f t="shared" si="93"/>
        <v/>
      </c>
      <c r="S232" s="44" t="str">
        <f t="shared" si="85"/>
        <v/>
      </c>
      <c r="U232" s="42" t="str">
        <f t="shared" si="94"/>
        <v/>
      </c>
      <c r="V232" s="41" t="str">
        <f t="shared" si="95"/>
        <v/>
      </c>
      <c r="W232" s="41" t="str">
        <f t="shared" si="100"/>
        <v/>
      </c>
      <c r="Y232" s="35" t="str">
        <f t="shared" si="86"/>
        <v/>
      </c>
      <c r="Z232" s="34" t="str">
        <f t="shared" si="96"/>
        <v/>
      </c>
      <c r="AA232" s="34" t="str">
        <f t="shared" si="78"/>
        <v/>
      </c>
      <c r="AC232" s="36" t="str">
        <f t="shared" si="87"/>
        <v/>
      </c>
      <c r="AE232" s="37">
        <f t="shared" si="88"/>
        <v>0</v>
      </c>
      <c r="AG232" s="56" t="str">
        <f t="shared" si="97"/>
        <v/>
      </c>
      <c r="AH232" s="57" t="str">
        <f t="shared" si="89"/>
        <v/>
      </c>
      <c r="AI232" s="57" t="str">
        <f t="shared" si="98"/>
        <v/>
      </c>
      <c r="AJ232" s="57" t="str">
        <f t="shared" si="90"/>
        <v/>
      </c>
      <c r="AK232" s="57" t="str">
        <f t="shared" si="99"/>
        <v/>
      </c>
    </row>
    <row r="233" spans="1:37">
      <c r="A233" s="2" t="str">
        <f t="shared" si="91"/>
        <v/>
      </c>
      <c r="B233" s="10" t="str">
        <f t="shared" si="79"/>
        <v/>
      </c>
      <c r="C233" s="18" t="str">
        <f t="shared" si="80"/>
        <v/>
      </c>
      <c r="D233" s="4" t="str">
        <f t="shared" si="92"/>
        <v/>
      </c>
      <c r="E233" s="4" t="str">
        <f t="shared" si="81"/>
        <v/>
      </c>
      <c r="F233" s="4" t="str">
        <f t="shared" si="82"/>
        <v/>
      </c>
      <c r="G233" s="4" t="str">
        <f t="shared" si="83"/>
        <v/>
      </c>
      <c r="H233" s="4"/>
      <c r="I233" s="4"/>
      <c r="J233" s="4"/>
      <c r="K233" s="4"/>
      <c r="L233" s="4" t="str">
        <f>IF(A233="","",IF(ISERROR(VLOOKUP(A233,'pagos anticipados'!$A$2:$B$5,2,FALSE)),0,VLOOKUP(A233,'pagos anticipados'!$A$2:B231,2,FALSE)))</f>
        <v/>
      </c>
      <c r="M233" s="4" t="str">
        <f t="shared" si="76"/>
        <v/>
      </c>
      <c r="N233" s="1">
        <f t="shared" si="77"/>
        <v>0</v>
      </c>
      <c r="Q233" s="44" t="str">
        <f t="shared" si="84"/>
        <v/>
      </c>
      <c r="R233" s="44" t="str">
        <f t="shared" si="93"/>
        <v/>
      </c>
      <c r="S233" s="44" t="str">
        <f t="shared" si="85"/>
        <v/>
      </c>
      <c r="U233" s="42" t="str">
        <f t="shared" si="94"/>
        <v/>
      </c>
      <c r="V233" s="41" t="str">
        <f t="shared" si="95"/>
        <v/>
      </c>
      <c r="W233" s="41" t="str">
        <f t="shared" si="100"/>
        <v/>
      </c>
      <c r="Y233" s="35" t="str">
        <f t="shared" si="86"/>
        <v/>
      </c>
      <c r="Z233" s="34" t="str">
        <f t="shared" si="96"/>
        <v/>
      </c>
      <c r="AA233" s="34" t="str">
        <f t="shared" si="78"/>
        <v/>
      </c>
      <c r="AC233" s="36" t="str">
        <f t="shared" si="87"/>
        <v/>
      </c>
      <c r="AE233" s="37">
        <f t="shared" si="88"/>
        <v>0</v>
      </c>
      <c r="AG233" s="56" t="str">
        <f t="shared" si="97"/>
        <v/>
      </c>
      <c r="AH233" s="57" t="str">
        <f t="shared" si="89"/>
        <v/>
      </c>
      <c r="AI233" s="57" t="str">
        <f t="shared" si="98"/>
        <v/>
      </c>
      <c r="AJ233" s="57" t="str">
        <f t="shared" si="90"/>
        <v/>
      </c>
      <c r="AK233" s="57" t="str">
        <f t="shared" si="99"/>
        <v/>
      </c>
    </row>
    <row r="234" spans="1:37">
      <c r="A234" s="2" t="str">
        <f t="shared" si="91"/>
        <v/>
      </c>
      <c r="B234" s="10" t="str">
        <f t="shared" si="79"/>
        <v/>
      </c>
      <c r="C234" s="18" t="str">
        <f t="shared" si="80"/>
        <v/>
      </c>
      <c r="D234" s="4" t="str">
        <f t="shared" si="92"/>
        <v/>
      </c>
      <c r="E234" s="4" t="str">
        <f t="shared" si="81"/>
        <v/>
      </c>
      <c r="F234" s="4" t="str">
        <f t="shared" si="82"/>
        <v/>
      </c>
      <c r="G234" s="4" t="str">
        <f t="shared" si="83"/>
        <v/>
      </c>
      <c r="H234" s="4"/>
      <c r="I234" s="4"/>
      <c r="J234" s="4"/>
      <c r="K234" s="4"/>
      <c r="L234" s="4" t="str">
        <f>IF(A234="","",IF(ISERROR(VLOOKUP(A234,'pagos anticipados'!$A$2:$B$5,2,FALSE)),0,VLOOKUP(A234,'pagos anticipados'!$A$2:B232,2,FALSE)))</f>
        <v/>
      </c>
      <c r="M234" s="4" t="str">
        <f t="shared" si="76"/>
        <v/>
      </c>
      <c r="N234" s="1">
        <f t="shared" si="77"/>
        <v>0</v>
      </c>
      <c r="Q234" s="44" t="str">
        <f t="shared" si="84"/>
        <v/>
      </c>
      <c r="R234" s="44" t="str">
        <f t="shared" si="93"/>
        <v/>
      </c>
      <c r="S234" s="44" t="str">
        <f t="shared" si="85"/>
        <v/>
      </c>
      <c r="U234" s="42" t="str">
        <f t="shared" si="94"/>
        <v/>
      </c>
      <c r="V234" s="41" t="str">
        <f t="shared" si="95"/>
        <v/>
      </c>
      <c r="W234" s="41" t="str">
        <f t="shared" si="100"/>
        <v/>
      </c>
      <c r="Y234" s="35" t="str">
        <f t="shared" si="86"/>
        <v/>
      </c>
      <c r="Z234" s="34" t="str">
        <f t="shared" si="96"/>
        <v/>
      </c>
      <c r="AA234" s="34" t="str">
        <f t="shared" si="78"/>
        <v/>
      </c>
      <c r="AC234" s="36" t="str">
        <f t="shared" si="87"/>
        <v/>
      </c>
      <c r="AE234" s="37">
        <f t="shared" si="88"/>
        <v>0</v>
      </c>
      <c r="AG234" s="56" t="str">
        <f t="shared" si="97"/>
        <v/>
      </c>
      <c r="AH234" s="57" t="str">
        <f t="shared" si="89"/>
        <v/>
      </c>
      <c r="AI234" s="57" t="str">
        <f t="shared" si="98"/>
        <v/>
      </c>
      <c r="AJ234" s="57" t="str">
        <f t="shared" si="90"/>
        <v/>
      </c>
      <c r="AK234" s="57" t="str">
        <f t="shared" si="99"/>
        <v/>
      </c>
    </row>
    <row r="235" spans="1:37">
      <c r="A235" s="2" t="str">
        <f t="shared" si="91"/>
        <v/>
      </c>
      <c r="B235" s="10" t="str">
        <f t="shared" si="79"/>
        <v/>
      </c>
      <c r="C235" s="18" t="str">
        <f t="shared" si="80"/>
        <v/>
      </c>
      <c r="D235" s="4" t="str">
        <f t="shared" si="92"/>
        <v/>
      </c>
      <c r="E235" s="4" t="str">
        <f t="shared" si="81"/>
        <v/>
      </c>
      <c r="F235" s="4" t="str">
        <f t="shared" si="82"/>
        <v/>
      </c>
      <c r="G235" s="4" t="str">
        <f t="shared" si="83"/>
        <v/>
      </c>
      <c r="H235" s="4"/>
      <c r="I235" s="4"/>
      <c r="J235" s="4"/>
      <c r="K235" s="4"/>
      <c r="L235" s="4" t="str">
        <f>IF(A235="","",IF(ISERROR(VLOOKUP(A235,'pagos anticipados'!$A$2:$B$5,2,FALSE)),0,VLOOKUP(A235,'pagos anticipados'!$A$2:B233,2,FALSE)))</f>
        <v/>
      </c>
      <c r="M235" s="4" t="str">
        <f t="shared" si="76"/>
        <v/>
      </c>
      <c r="N235" s="1">
        <f t="shared" si="77"/>
        <v>0</v>
      </c>
      <c r="Q235" s="44" t="str">
        <f t="shared" si="84"/>
        <v/>
      </c>
      <c r="R235" s="44" t="str">
        <f t="shared" si="93"/>
        <v/>
      </c>
      <c r="S235" s="44" t="str">
        <f t="shared" si="85"/>
        <v/>
      </c>
      <c r="U235" s="42" t="str">
        <f t="shared" si="94"/>
        <v/>
      </c>
      <c r="V235" s="41" t="str">
        <f t="shared" si="95"/>
        <v/>
      </c>
      <c r="W235" s="41" t="str">
        <f t="shared" si="100"/>
        <v/>
      </c>
      <c r="Y235" s="35" t="str">
        <f t="shared" si="86"/>
        <v/>
      </c>
      <c r="Z235" s="34" t="str">
        <f t="shared" si="96"/>
        <v/>
      </c>
      <c r="AA235" s="34" t="str">
        <f t="shared" si="78"/>
        <v/>
      </c>
      <c r="AC235" s="36" t="str">
        <f t="shared" si="87"/>
        <v/>
      </c>
      <c r="AE235" s="37">
        <f t="shared" si="88"/>
        <v>0</v>
      </c>
      <c r="AG235" s="56" t="str">
        <f t="shared" si="97"/>
        <v/>
      </c>
      <c r="AH235" s="57" t="str">
        <f t="shared" si="89"/>
        <v/>
      </c>
      <c r="AI235" s="57" t="str">
        <f t="shared" si="98"/>
        <v/>
      </c>
      <c r="AJ235" s="57" t="str">
        <f t="shared" si="90"/>
        <v/>
      </c>
      <c r="AK235" s="57" t="str">
        <f t="shared" si="99"/>
        <v/>
      </c>
    </row>
    <row r="236" spans="1:37">
      <c r="A236" s="2" t="str">
        <f t="shared" si="91"/>
        <v/>
      </c>
      <c r="B236" s="10" t="str">
        <f t="shared" si="79"/>
        <v/>
      </c>
      <c r="C236" s="18" t="str">
        <f t="shared" si="80"/>
        <v/>
      </c>
      <c r="D236" s="4" t="str">
        <f t="shared" si="92"/>
        <v/>
      </c>
      <c r="E236" s="4" t="str">
        <f t="shared" si="81"/>
        <v/>
      </c>
      <c r="F236" s="4" t="str">
        <f t="shared" si="82"/>
        <v/>
      </c>
      <c r="G236" s="4" t="str">
        <f t="shared" si="83"/>
        <v/>
      </c>
      <c r="H236" s="4"/>
      <c r="I236" s="4"/>
      <c r="J236" s="4"/>
      <c r="K236" s="4"/>
      <c r="L236" s="4" t="str">
        <f>IF(A236="","",IF(ISERROR(VLOOKUP(A236,'pagos anticipados'!$A$2:$B$5,2,FALSE)),0,VLOOKUP(A236,'pagos anticipados'!$A$2:B234,2,FALSE)))</f>
        <v/>
      </c>
      <c r="M236" s="4" t="str">
        <f t="shared" si="76"/>
        <v/>
      </c>
      <c r="N236" s="1">
        <f t="shared" si="77"/>
        <v>0</v>
      </c>
      <c r="Q236" s="44" t="str">
        <f t="shared" si="84"/>
        <v/>
      </c>
      <c r="R236" s="44" t="str">
        <f t="shared" si="93"/>
        <v/>
      </c>
      <c r="S236" s="44" t="str">
        <f t="shared" si="85"/>
        <v/>
      </c>
      <c r="U236" s="42" t="str">
        <f t="shared" si="94"/>
        <v/>
      </c>
      <c r="V236" s="41" t="str">
        <f t="shared" si="95"/>
        <v/>
      </c>
      <c r="W236" s="41" t="str">
        <f t="shared" si="100"/>
        <v/>
      </c>
      <c r="Y236" s="35" t="str">
        <f t="shared" si="86"/>
        <v/>
      </c>
      <c r="Z236" s="34" t="str">
        <f t="shared" si="96"/>
        <v/>
      </c>
      <c r="AA236" s="34" t="str">
        <f t="shared" si="78"/>
        <v/>
      </c>
      <c r="AC236" s="36" t="str">
        <f t="shared" si="87"/>
        <v/>
      </c>
      <c r="AE236" s="37">
        <f t="shared" si="88"/>
        <v>0</v>
      </c>
      <c r="AG236" s="56" t="str">
        <f t="shared" si="97"/>
        <v/>
      </c>
      <c r="AH236" s="57" t="str">
        <f t="shared" si="89"/>
        <v/>
      </c>
      <c r="AI236" s="57" t="str">
        <f t="shared" si="98"/>
        <v/>
      </c>
      <c r="AJ236" s="57" t="str">
        <f t="shared" si="90"/>
        <v/>
      </c>
      <c r="AK236" s="57" t="str">
        <f t="shared" si="99"/>
        <v/>
      </c>
    </row>
    <row r="237" spans="1:37">
      <c r="A237" s="2" t="str">
        <f t="shared" si="91"/>
        <v/>
      </c>
      <c r="B237" s="10" t="str">
        <f t="shared" si="79"/>
        <v/>
      </c>
      <c r="C237" s="18" t="str">
        <f t="shared" si="80"/>
        <v/>
      </c>
      <c r="D237" s="4" t="str">
        <f t="shared" si="92"/>
        <v/>
      </c>
      <c r="E237" s="4" t="str">
        <f t="shared" si="81"/>
        <v/>
      </c>
      <c r="F237" s="4" t="str">
        <f t="shared" si="82"/>
        <v/>
      </c>
      <c r="G237" s="4" t="str">
        <f t="shared" si="83"/>
        <v/>
      </c>
      <c r="H237" s="4"/>
      <c r="I237" s="4"/>
      <c r="J237" s="4"/>
      <c r="K237" s="4"/>
      <c r="L237" s="4" t="str">
        <f>IF(A237="","",IF(ISERROR(VLOOKUP(A237,'pagos anticipados'!$A$2:$B$5,2,FALSE)),0,VLOOKUP(A237,'pagos anticipados'!$A$2:B235,2,FALSE)))</f>
        <v/>
      </c>
      <c r="M237" s="4" t="str">
        <f t="shared" si="76"/>
        <v/>
      </c>
      <c r="N237" s="1">
        <f t="shared" si="77"/>
        <v>0</v>
      </c>
      <c r="Q237" s="44" t="str">
        <f t="shared" si="84"/>
        <v/>
      </c>
      <c r="R237" s="44" t="str">
        <f t="shared" si="93"/>
        <v/>
      </c>
      <c r="S237" s="44" t="str">
        <f t="shared" si="85"/>
        <v/>
      </c>
      <c r="U237" s="42" t="str">
        <f t="shared" si="94"/>
        <v/>
      </c>
      <c r="V237" s="41" t="str">
        <f t="shared" si="95"/>
        <v/>
      </c>
      <c r="W237" s="41" t="str">
        <f t="shared" si="100"/>
        <v/>
      </c>
      <c r="Y237" s="35" t="str">
        <f t="shared" si="86"/>
        <v/>
      </c>
      <c r="Z237" s="34" t="str">
        <f t="shared" si="96"/>
        <v/>
      </c>
      <c r="AA237" s="34" t="str">
        <f t="shared" si="78"/>
        <v/>
      </c>
      <c r="AC237" s="36" t="str">
        <f t="shared" si="87"/>
        <v/>
      </c>
      <c r="AE237" s="37">
        <f t="shared" si="88"/>
        <v>0</v>
      </c>
      <c r="AG237" s="56" t="str">
        <f t="shared" si="97"/>
        <v/>
      </c>
      <c r="AH237" s="57" t="str">
        <f t="shared" si="89"/>
        <v/>
      </c>
      <c r="AI237" s="57" t="str">
        <f t="shared" si="98"/>
        <v/>
      </c>
      <c r="AJ237" s="57" t="str">
        <f t="shared" si="90"/>
        <v/>
      </c>
      <c r="AK237" s="57" t="str">
        <f t="shared" si="99"/>
        <v/>
      </c>
    </row>
    <row r="238" spans="1:37">
      <c r="A238" s="2" t="str">
        <f t="shared" si="91"/>
        <v/>
      </c>
      <c r="B238" s="10" t="str">
        <f t="shared" si="79"/>
        <v/>
      </c>
      <c r="C238" s="18" t="str">
        <f t="shared" si="80"/>
        <v/>
      </c>
      <c r="D238" s="4" t="str">
        <f t="shared" si="92"/>
        <v/>
      </c>
      <c r="E238" s="4" t="str">
        <f t="shared" si="81"/>
        <v/>
      </c>
      <c r="F238" s="4" t="str">
        <f t="shared" si="82"/>
        <v/>
      </c>
      <c r="G238" s="4" t="str">
        <f t="shared" si="83"/>
        <v/>
      </c>
      <c r="H238" s="4"/>
      <c r="I238" s="4"/>
      <c r="J238" s="4"/>
      <c r="K238" s="4"/>
      <c r="L238" s="4" t="str">
        <f>IF(A238="","",IF(ISERROR(VLOOKUP(A238,'pagos anticipados'!$A$2:$B$5,2,FALSE)),0,VLOOKUP(A238,'pagos anticipados'!$A$2:B236,2,FALSE)))</f>
        <v/>
      </c>
      <c r="M238" s="4" t="str">
        <f t="shared" si="76"/>
        <v/>
      </c>
      <c r="N238" s="1">
        <f t="shared" si="77"/>
        <v>0</v>
      </c>
      <c r="Q238" s="44" t="str">
        <f t="shared" si="84"/>
        <v/>
      </c>
      <c r="R238" s="44" t="str">
        <f t="shared" si="93"/>
        <v/>
      </c>
      <c r="S238" s="44" t="str">
        <f t="shared" si="85"/>
        <v/>
      </c>
      <c r="U238" s="42" t="str">
        <f t="shared" si="94"/>
        <v/>
      </c>
      <c r="V238" s="41" t="str">
        <f t="shared" si="95"/>
        <v/>
      </c>
      <c r="W238" s="41" t="str">
        <f t="shared" si="100"/>
        <v/>
      </c>
      <c r="Y238" s="35" t="str">
        <f t="shared" si="86"/>
        <v/>
      </c>
      <c r="Z238" s="34" t="str">
        <f t="shared" si="96"/>
        <v/>
      </c>
      <c r="AA238" s="34" t="str">
        <f t="shared" si="78"/>
        <v/>
      </c>
      <c r="AC238" s="36" t="str">
        <f t="shared" si="87"/>
        <v/>
      </c>
      <c r="AE238" s="37">
        <f t="shared" si="88"/>
        <v>0</v>
      </c>
      <c r="AG238" s="56" t="str">
        <f t="shared" si="97"/>
        <v/>
      </c>
      <c r="AH238" s="57" t="str">
        <f t="shared" si="89"/>
        <v/>
      </c>
      <c r="AI238" s="57" t="str">
        <f t="shared" si="98"/>
        <v/>
      </c>
      <c r="AJ238" s="57" t="str">
        <f t="shared" si="90"/>
        <v/>
      </c>
      <c r="AK238" s="57" t="str">
        <f t="shared" si="99"/>
        <v/>
      </c>
    </row>
    <row r="239" spans="1:37">
      <c r="A239" s="2" t="str">
        <f t="shared" si="91"/>
        <v/>
      </c>
      <c r="B239" s="10" t="str">
        <f t="shared" si="79"/>
        <v/>
      </c>
      <c r="C239" s="18" t="str">
        <f t="shared" si="80"/>
        <v/>
      </c>
      <c r="D239" s="4" t="str">
        <f t="shared" si="92"/>
        <v/>
      </c>
      <c r="E239" s="4" t="str">
        <f t="shared" si="81"/>
        <v/>
      </c>
      <c r="F239" s="4" t="str">
        <f t="shared" si="82"/>
        <v/>
      </c>
      <c r="G239" s="4" t="str">
        <f t="shared" si="83"/>
        <v/>
      </c>
      <c r="H239" s="4"/>
      <c r="I239" s="4"/>
      <c r="J239" s="4"/>
      <c r="K239" s="4"/>
      <c r="L239" s="4" t="str">
        <f>IF(A239="","",IF(ISERROR(VLOOKUP(A239,'pagos anticipados'!$A$2:$B$5,2,FALSE)),0,VLOOKUP(A239,'pagos anticipados'!$A$2:B237,2,FALSE)))</f>
        <v/>
      </c>
      <c r="M239" s="4" t="str">
        <f t="shared" si="76"/>
        <v/>
      </c>
      <c r="N239" s="1">
        <f t="shared" si="77"/>
        <v>0</v>
      </c>
      <c r="Q239" s="44" t="str">
        <f t="shared" si="84"/>
        <v/>
      </c>
      <c r="R239" s="44" t="str">
        <f t="shared" si="93"/>
        <v/>
      </c>
      <c r="S239" s="44" t="str">
        <f t="shared" si="85"/>
        <v/>
      </c>
      <c r="U239" s="42" t="str">
        <f t="shared" si="94"/>
        <v/>
      </c>
      <c r="V239" s="41" t="str">
        <f t="shared" si="95"/>
        <v/>
      </c>
      <c r="W239" s="41" t="str">
        <f t="shared" si="100"/>
        <v/>
      </c>
      <c r="Y239" s="35" t="str">
        <f t="shared" si="86"/>
        <v/>
      </c>
      <c r="Z239" s="34" t="str">
        <f t="shared" si="96"/>
        <v/>
      </c>
      <c r="AA239" s="34" t="str">
        <f t="shared" si="78"/>
        <v/>
      </c>
      <c r="AC239" s="36" t="str">
        <f t="shared" si="87"/>
        <v/>
      </c>
      <c r="AE239" s="37">
        <f t="shared" si="88"/>
        <v>0</v>
      </c>
      <c r="AG239" s="56" t="str">
        <f t="shared" si="97"/>
        <v/>
      </c>
      <c r="AH239" s="57" t="str">
        <f t="shared" si="89"/>
        <v/>
      </c>
      <c r="AI239" s="57" t="str">
        <f t="shared" si="98"/>
        <v/>
      </c>
      <c r="AJ239" s="57" t="str">
        <f t="shared" si="90"/>
        <v/>
      </c>
      <c r="AK239" s="57" t="str">
        <f t="shared" si="99"/>
        <v/>
      </c>
    </row>
    <row r="240" spans="1:37">
      <c r="A240" s="2" t="str">
        <f t="shared" si="91"/>
        <v/>
      </c>
      <c r="B240" s="10" t="str">
        <f t="shared" si="79"/>
        <v/>
      </c>
      <c r="C240" s="18" t="str">
        <f t="shared" si="80"/>
        <v/>
      </c>
      <c r="D240" s="4" t="str">
        <f t="shared" si="92"/>
        <v/>
      </c>
      <c r="E240" s="4" t="str">
        <f t="shared" si="81"/>
        <v/>
      </c>
      <c r="F240" s="4" t="str">
        <f t="shared" si="82"/>
        <v/>
      </c>
      <c r="G240" s="4" t="str">
        <f t="shared" si="83"/>
        <v/>
      </c>
      <c r="H240" s="4"/>
      <c r="I240" s="4"/>
      <c r="J240" s="4"/>
      <c r="K240" s="4"/>
      <c r="L240" s="4" t="str">
        <f>IF(A240="","",IF(ISERROR(VLOOKUP(A240,'pagos anticipados'!$A$2:$B$5,2,FALSE)),0,VLOOKUP(A240,'pagos anticipados'!$A$2:B238,2,FALSE)))</f>
        <v/>
      </c>
      <c r="M240" s="4" t="str">
        <f t="shared" si="76"/>
        <v/>
      </c>
      <c r="N240" s="1">
        <f t="shared" si="77"/>
        <v>0</v>
      </c>
      <c r="Q240" s="44" t="str">
        <f t="shared" si="84"/>
        <v/>
      </c>
      <c r="R240" s="44" t="str">
        <f t="shared" si="93"/>
        <v/>
      </c>
      <c r="S240" s="44" t="str">
        <f t="shared" si="85"/>
        <v/>
      </c>
      <c r="U240" s="42" t="str">
        <f t="shared" si="94"/>
        <v/>
      </c>
      <c r="V240" s="41" t="str">
        <f t="shared" si="95"/>
        <v/>
      </c>
      <c r="W240" s="41" t="str">
        <f t="shared" si="100"/>
        <v/>
      </c>
      <c r="Y240" s="35" t="str">
        <f t="shared" si="86"/>
        <v/>
      </c>
      <c r="Z240" s="34" t="str">
        <f t="shared" si="96"/>
        <v/>
      </c>
      <c r="AA240" s="34" t="str">
        <f t="shared" si="78"/>
        <v/>
      </c>
      <c r="AC240" s="36" t="str">
        <f t="shared" si="87"/>
        <v/>
      </c>
      <c r="AE240" s="37">
        <f t="shared" si="88"/>
        <v>0</v>
      </c>
      <c r="AG240" s="56" t="str">
        <f t="shared" si="97"/>
        <v/>
      </c>
      <c r="AH240" s="57" t="str">
        <f t="shared" si="89"/>
        <v/>
      </c>
      <c r="AI240" s="57" t="str">
        <f t="shared" si="98"/>
        <v/>
      </c>
      <c r="AJ240" s="57" t="str">
        <f t="shared" si="90"/>
        <v/>
      </c>
      <c r="AK240" s="57" t="str">
        <f t="shared" si="99"/>
        <v/>
      </c>
    </row>
    <row r="241" spans="1:37">
      <c r="A241" s="2" t="str">
        <f t="shared" si="91"/>
        <v/>
      </c>
      <c r="B241" s="10" t="str">
        <f t="shared" si="79"/>
        <v/>
      </c>
      <c r="C241" s="18" t="str">
        <f t="shared" si="80"/>
        <v/>
      </c>
      <c r="D241" s="4" t="str">
        <f t="shared" si="92"/>
        <v/>
      </c>
      <c r="E241" s="4" t="str">
        <f t="shared" si="81"/>
        <v/>
      </c>
      <c r="F241" s="4" t="str">
        <f t="shared" si="82"/>
        <v/>
      </c>
      <c r="G241" s="4" t="str">
        <f t="shared" si="83"/>
        <v/>
      </c>
      <c r="H241" s="4"/>
      <c r="I241" s="4"/>
      <c r="J241" s="4"/>
      <c r="K241" s="4"/>
      <c r="L241" s="4" t="str">
        <f>IF(A241="","",IF(ISERROR(VLOOKUP(A241,'pagos anticipados'!$A$2:$B$5,2,FALSE)),0,VLOOKUP(A241,'pagos anticipados'!$A$2:B239,2,FALSE)))</f>
        <v/>
      </c>
      <c r="M241" s="4" t="str">
        <f t="shared" si="76"/>
        <v/>
      </c>
      <c r="N241" s="1">
        <f t="shared" si="77"/>
        <v>0</v>
      </c>
      <c r="Q241" s="44" t="str">
        <f t="shared" si="84"/>
        <v/>
      </c>
      <c r="R241" s="44" t="str">
        <f t="shared" si="93"/>
        <v/>
      </c>
      <c r="S241" s="44" t="str">
        <f t="shared" si="85"/>
        <v/>
      </c>
      <c r="U241" s="42" t="str">
        <f t="shared" si="94"/>
        <v/>
      </c>
      <c r="V241" s="41" t="str">
        <f t="shared" si="95"/>
        <v/>
      </c>
      <c r="W241" s="41" t="str">
        <f t="shared" si="100"/>
        <v/>
      </c>
      <c r="Y241" s="35" t="str">
        <f t="shared" si="86"/>
        <v/>
      </c>
      <c r="Z241" s="34" t="str">
        <f t="shared" si="96"/>
        <v/>
      </c>
      <c r="AA241" s="34" t="str">
        <f t="shared" si="78"/>
        <v/>
      </c>
      <c r="AC241" s="36" t="str">
        <f t="shared" si="87"/>
        <v/>
      </c>
      <c r="AE241" s="37">
        <f t="shared" si="88"/>
        <v>0</v>
      </c>
      <c r="AG241" s="56" t="str">
        <f t="shared" si="97"/>
        <v/>
      </c>
      <c r="AH241" s="57" t="str">
        <f t="shared" si="89"/>
        <v/>
      </c>
      <c r="AI241" s="57" t="str">
        <f t="shared" si="98"/>
        <v/>
      </c>
      <c r="AJ241" s="57" t="str">
        <f t="shared" si="90"/>
        <v/>
      </c>
      <c r="AK241" s="57" t="str">
        <f t="shared" si="99"/>
        <v/>
      </c>
    </row>
    <row r="242" spans="1:37">
      <c r="A242" s="2" t="str">
        <f t="shared" si="91"/>
        <v/>
      </c>
      <c r="B242" s="10" t="str">
        <f t="shared" si="79"/>
        <v/>
      </c>
      <c r="C242" s="18" t="str">
        <f t="shared" si="80"/>
        <v/>
      </c>
      <c r="D242" s="4" t="str">
        <f t="shared" si="92"/>
        <v/>
      </c>
      <c r="E242" s="4" t="str">
        <f t="shared" si="81"/>
        <v/>
      </c>
      <c r="F242" s="4" t="str">
        <f t="shared" si="82"/>
        <v/>
      </c>
      <c r="G242" s="4" t="str">
        <f t="shared" si="83"/>
        <v/>
      </c>
      <c r="H242" s="4"/>
      <c r="I242" s="4"/>
      <c r="J242" s="4"/>
      <c r="K242" s="4"/>
      <c r="L242" s="4" t="str">
        <f>IF(A242="","",IF(ISERROR(VLOOKUP(A242,'pagos anticipados'!$A$2:$B$5,2,FALSE)),0,VLOOKUP(A242,'pagos anticipados'!$A$2:B240,2,FALSE)))</f>
        <v/>
      </c>
      <c r="M242" s="4" t="str">
        <f t="shared" si="76"/>
        <v/>
      </c>
      <c r="N242" s="1">
        <f t="shared" si="77"/>
        <v>0</v>
      </c>
      <c r="Q242" s="44" t="str">
        <f t="shared" si="84"/>
        <v/>
      </c>
      <c r="R242" s="44" t="str">
        <f t="shared" si="93"/>
        <v/>
      </c>
      <c r="S242" s="44" t="str">
        <f t="shared" si="85"/>
        <v/>
      </c>
      <c r="U242" s="42" t="str">
        <f t="shared" si="94"/>
        <v/>
      </c>
      <c r="V242" s="41" t="str">
        <f t="shared" si="95"/>
        <v/>
      </c>
      <c r="W242" s="41" t="str">
        <f t="shared" si="100"/>
        <v/>
      </c>
      <c r="Y242" s="35" t="str">
        <f t="shared" si="86"/>
        <v/>
      </c>
      <c r="Z242" s="34" t="str">
        <f t="shared" si="96"/>
        <v/>
      </c>
      <c r="AA242" s="34" t="str">
        <f t="shared" si="78"/>
        <v/>
      </c>
      <c r="AC242" s="36" t="str">
        <f t="shared" si="87"/>
        <v/>
      </c>
      <c r="AE242" s="37">
        <f t="shared" si="88"/>
        <v>0</v>
      </c>
      <c r="AG242" s="56" t="str">
        <f t="shared" si="97"/>
        <v/>
      </c>
      <c r="AH242" s="57" t="str">
        <f t="shared" si="89"/>
        <v/>
      </c>
      <c r="AI242" s="57" t="str">
        <f t="shared" si="98"/>
        <v/>
      </c>
      <c r="AJ242" s="57" t="str">
        <f t="shared" si="90"/>
        <v/>
      </c>
      <c r="AK242" s="57" t="str">
        <f t="shared" si="99"/>
        <v/>
      </c>
    </row>
    <row r="243" spans="1:37">
      <c r="A243" s="2" t="str">
        <f t="shared" si="91"/>
        <v/>
      </c>
      <c r="B243" s="10" t="str">
        <f t="shared" si="79"/>
        <v/>
      </c>
      <c r="C243" s="18" t="str">
        <f t="shared" si="80"/>
        <v/>
      </c>
      <c r="D243" s="4" t="str">
        <f t="shared" si="92"/>
        <v/>
      </c>
      <c r="E243" s="4" t="str">
        <f t="shared" si="81"/>
        <v/>
      </c>
      <c r="F243" s="4" t="str">
        <f t="shared" si="82"/>
        <v/>
      </c>
      <c r="G243" s="4" t="str">
        <f t="shared" si="83"/>
        <v/>
      </c>
      <c r="H243" s="4"/>
      <c r="I243" s="4"/>
      <c r="J243" s="4"/>
      <c r="K243" s="4"/>
      <c r="L243" s="4" t="str">
        <f>IF(A243="","",IF(ISERROR(VLOOKUP(A243,'pagos anticipados'!$A$2:$B$5,2,FALSE)),0,VLOOKUP(A243,'pagos anticipados'!$A$2:B241,2,FALSE)))</f>
        <v/>
      </c>
      <c r="M243" s="4" t="str">
        <f t="shared" si="76"/>
        <v/>
      </c>
      <c r="N243" s="1">
        <f t="shared" si="77"/>
        <v>0</v>
      </c>
      <c r="Q243" s="44" t="str">
        <f t="shared" si="84"/>
        <v/>
      </c>
      <c r="R243" s="44" t="str">
        <f t="shared" si="93"/>
        <v/>
      </c>
      <c r="S243" s="44" t="str">
        <f t="shared" si="85"/>
        <v/>
      </c>
      <c r="U243" s="42" t="str">
        <f t="shared" si="94"/>
        <v/>
      </c>
      <c r="V243" s="41" t="str">
        <f t="shared" si="95"/>
        <v/>
      </c>
      <c r="W243" s="41" t="str">
        <f t="shared" si="100"/>
        <v/>
      </c>
      <c r="Y243" s="35" t="str">
        <f t="shared" si="86"/>
        <v/>
      </c>
      <c r="Z243" s="34" t="str">
        <f t="shared" si="96"/>
        <v/>
      </c>
      <c r="AA243" s="34" t="str">
        <f t="shared" si="78"/>
        <v/>
      </c>
      <c r="AC243" s="36" t="str">
        <f t="shared" si="87"/>
        <v/>
      </c>
      <c r="AE243" s="37">
        <f t="shared" si="88"/>
        <v>0</v>
      </c>
      <c r="AG243" s="56" t="str">
        <f t="shared" si="97"/>
        <v/>
      </c>
      <c r="AH243" s="57" t="str">
        <f t="shared" si="89"/>
        <v/>
      </c>
      <c r="AI243" s="57" t="str">
        <f t="shared" si="98"/>
        <v/>
      </c>
      <c r="AJ243" s="57" t="str">
        <f t="shared" si="90"/>
        <v/>
      </c>
      <c r="AK243" s="57" t="str">
        <f t="shared" si="99"/>
        <v/>
      </c>
    </row>
    <row r="244" spans="1:37">
      <c r="A244" s="2" t="str">
        <f t="shared" si="91"/>
        <v/>
      </c>
      <c r="B244" s="10" t="str">
        <f t="shared" si="79"/>
        <v/>
      </c>
      <c r="C244" s="18" t="str">
        <f t="shared" si="80"/>
        <v/>
      </c>
      <c r="D244" s="4" t="str">
        <f t="shared" si="92"/>
        <v/>
      </c>
      <c r="E244" s="4" t="str">
        <f t="shared" si="81"/>
        <v/>
      </c>
      <c r="F244" s="4" t="str">
        <f t="shared" si="82"/>
        <v/>
      </c>
      <c r="G244" s="4" t="str">
        <f t="shared" si="83"/>
        <v/>
      </c>
      <c r="H244" s="4"/>
      <c r="I244" s="4"/>
      <c r="J244" s="4"/>
      <c r="K244" s="4"/>
      <c r="L244" s="4" t="str">
        <f>IF(A244="","",IF(ISERROR(VLOOKUP(A244,'pagos anticipados'!$A$2:$B$5,2,FALSE)),0,VLOOKUP(A244,'pagos anticipados'!$A$2:B242,2,FALSE)))</f>
        <v/>
      </c>
      <c r="M244" s="4" t="str">
        <f t="shared" si="76"/>
        <v/>
      </c>
      <c r="N244" s="1">
        <f t="shared" si="77"/>
        <v>0</v>
      </c>
      <c r="Q244" s="44" t="str">
        <f t="shared" si="84"/>
        <v/>
      </c>
      <c r="R244" s="44" t="str">
        <f t="shared" si="93"/>
        <v/>
      </c>
      <c r="S244" s="44" t="str">
        <f t="shared" si="85"/>
        <v/>
      </c>
      <c r="U244" s="42" t="str">
        <f t="shared" si="94"/>
        <v/>
      </c>
      <c r="V244" s="41" t="str">
        <f t="shared" si="95"/>
        <v/>
      </c>
      <c r="W244" s="41" t="str">
        <f t="shared" si="100"/>
        <v/>
      </c>
      <c r="Y244" s="35" t="str">
        <f t="shared" si="86"/>
        <v/>
      </c>
      <c r="Z244" s="34" t="str">
        <f t="shared" si="96"/>
        <v/>
      </c>
      <c r="AA244" s="34" t="str">
        <f t="shared" si="78"/>
        <v/>
      </c>
      <c r="AC244" s="36" t="str">
        <f t="shared" si="87"/>
        <v/>
      </c>
      <c r="AE244" s="37">
        <f t="shared" si="88"/>
        <v>0</v>
      </c>
      <c r="AG244" s="56" t="str">
        <f t="shared" si="97"/>
        <v/>
      </c>
      <c r="AH244" s="57" t="str">
        <f t="shared" si="89"/>
        <v/>
      </c>
      <c r="AI244" s="57" t="str">
        <f t="shared" si="98"/>
        <v/>
      </c>
      <c r="AJ244" s="57" t="str">
        <f t="shared" si="90"/>
        <v/>
      </c>
      <c r="AK244" s="57" t="str">
        <f t="shared" si="99"/>
        <v/>
      </c>
    </row>
    <row r="245" spans="1:37">
      <c r="A245" s="2" t="str">
        <f t="shared" si="91"/>
        <v/>
      </c>
      <c r="B245" s="10" t="str">
        <f t="shared" si="79"/>
        <v/>
      </c>
      <c r="C245" s="18" t="str">
        <f t="shared" si="80"/>
        <v/>
      </c>
      <c r="D245" s="4" t="str">
        <f t="shared" si="92"/>
        <v/>
      </c>
      <c r="E245" s="4" t="str">
        <f t="shared" si="81"/>
        <v/>
      </c>
      <c r="F245" s="4" t="str">
        <f t="shared" si="82"/>
        <v/>
      </c>
      <c r="G245" s="4" t="str">
        <f t="shared" si="83"/>
        <v/>
      </c>
      <c r="H245" s="4"/>
      <c r="I245" s="4"/>
      <c r="J245" s="4"/>
      <c r="K245" s="4"/>
      <c r="L245" s="4" t="str">
        <f>IF(A245="","",IF(ISERROR(VLOOKUP(A245,'pagos anticipados'!$A$2:$B$5,2,FALSE)),0,VLOOKUP(A245,'pagos anticipados'!$A$2:B243,2,FALSE)))</f>
        <v/>
      </c>
      <c r="M245" s="4" t="str">
        <f t="shared" si="76"/>
        <v/>
      </c>
      <c r="N245" s="1">
        <f t="shared" si="77"/>
        <v>0</v>
      </c>
      <c r="Q245" s="44" t="str">
        <f t="shared" si="84"/>
        <v/>
      </c>
      <c r="R245" s="44" t="str">
        <f t="shared" si="93"/>
        <v/>
      </c>
      <c r="S245" s="44" t="str">
        <f t="shared" si="85"/>
        <v/>
      </c>
      <c r="U245" s="42" t="str">
        <f t="shared" si="94"/>
        <v/>
      </c>
      <c r="V245" s="41" t="str">
        <f t="shared" si="95"/>
        <v/>
      </c>
      <c r="W245" s="41" t="str">
        <f t="shared" si="100"/>
        <v/>
      </c>
      <c r="Y245" s="35" t="str">
        <f t="shared" si="86"/>
        <v/>
      </c>
      <c r="Z245" s="34" t="str">
        <f t="shared" si="96"/>
        <v/>
      </c>
      <c r="AA245" s="34" t="str">
        <f t="shared" si="78"/>
        <v/>
      </c>
      <c r="AC245" s="36" t="str">
        <f t="shared" si="87"/>
        <v/>
      </c>
      <c r="AE245" s="37">
        <f t="shared" si="88"/>
        <v>0</v>
      </c>
      <c r="AG245" s="56" t="str">
        <f t="shared" si="97"/>
        <v/>
      </c>
      <c r="AH245" s="57" t="str">
        <f t="shared" si="89"/>
        <v/>
      </c>
      <c r="AI245" s="57" t="str">
        <f t="shared" si="98"/>
        <v/>
      </c>
      <c r="AJ245" s="57" t="str">
        <f t="shared" si="90"/>
        <v/>
      </c>
      <c r="AK245" s="57" t="str">
        <f t="shared" si="99"/>
        <v/>
      </c>
    </row>
    <row r="246" spans="1:37">
      <c r="A246" s="2" t="str">
        <f t="shared" si="91"/>
        <v/>
      </c>
      <c r="B246" s="10" t="str">
        <f t="shared" si="79"/>
        <v/>
      </c>
      <c r="C246" s="18" t="str">
        <f t="shared" si="80"/>
        <v/>
      </c>
      <c r="D246" s="4" t="str">
        <f t="shared" si="92"/>
        <v/>
      </c>
      <c r="E246" s="4" t="str">
        <f t="shared" si="81"/>
        <v/>
      </c>
      <c r="F246" s="4" t="str">
        <f t="shared" si="82"/>
        <v/>
      </c>
      <c r="G246" s="4" t="str">
        <f t="shared" si="83"/>
        <v/>
      </c>
      <c r="H246" s="4"/>
      <c r="I246" s="4"/>
      <c r="J246" s="4"/>
      <c r="K246" s="4"/>
      <c r="L246" s="4" t="str">
        <f>IF(A246="","",IF(ISERROR(VLOOKUP(A246,'pagos anticipados'!$A$2:$B$5,2,FALSE)),0,VLOOKUP(A246,'pagos anticipados'!$A$2:B244,2,FALSE)))</f>
        <v/>
      </c>
      <c r="M246" s="4" t="str">
        <f t="shared" si="76"/>
        <v/>
      </c>
      <c r="N246" s="1">
        <f t="shared" si="77"/>
        <v>0</v>
      </c>
      <c r="Q246" s="44" t="str">
        <f t="shared" si="84"/>
        <v/>
      </c>
      <c r="R246" s="44" t="str">
        <f t="shared" si="93"/>
        <v/>
      </c>
      <c r="S246" s="44" t="str">
        <f t="shared" si="85"/>
        <v/>
      </c>
      <c r="U246" s="42" t="str">
        <f t="shared" si="94"/>
        <v/>
      </c>
      <c r="V246" s="41" t="str">
        <f t="shared" si="95"/>
        <v/>
      </c>
      <c r="W246" s="41" t="str">
        <f t="shared" si="100"/>
        <v/>
      </c>
      <c r="Y246" s="35" t="str">
        <f t="shared" si="86"/>
        <v/>
      </c>
      <c r="Z246" s="34" t="str">
        <f t="shared" si="96"/>
        <v/>
      </c>
      <c r="AA246" s="34" t="str">
        <f t="shared" si="78"/>
        <v/>
      </c>
      <c r="AC246" s="36" t="str">
        <f t="shared" si="87"/>
        <v/>
      </c>
      <c r="AE246" s="37">
        <f t="shared" si="88"/>
        <v>0</v>
      </c>
      <c r="AG246" s="56" t="str">
        <f t="shared" si="97"/>
        <v/>
      </c>
      <c r="AH246" s="57" t="str">
        <f t="shared" si="89"/>
        <v/>
      </c>
      <c r="AI246" s="57" t="str">
        <f t="shared" si="98"/>
        <v/>
      </c>
      <c r="AJ246" s="57" t="str">
        <f t="shared" si="90"/>
        <v/>
      </c>
      <c r="AK246" s="57" t="str">
        <f t="shared" si="99"/>
        <v/>
      </c>
    </row>
    <row r="247" spans="1:37">
      <c r="A247" s="2" t="str">
        <f t="shared" si="91"/>
        <v/>
      </c>
      <c r="B247" s="10" t="str">
        <f t="shared" si="79"/>
        <v/>
      </c>
      <c r="C247" s="18" t="str">
        <f t="shared" si="80"/>
        <v/>
      </c>
      <c r="D247" s="4" t="str">
        <f t="shared" si="92"/>
        <v/>
      </c>
      <c r="E247" s="4" t="str">
        <f t="shared" si="81"/>
        <v/>
      </c>
      <c r="F247" s="4" t="str">
        <f t="shared" si="82"/>
        <v/>
      </c>
      <c r="G247" s="4" t="str">
        <f t="shared" si="83"/>
        <v/>
      </c>
      <c r="H247" s="4"/>
      <c r="I247" s="4"/>
      <c r="J247" s="4"/>
      <c r="K247" s="4"/>
      <c r="L247" s="4" t="str">
        <f>IF(A247="","",IF(ISERROR(VLOOKUP(A247,'pagos anticipados'!$A$2:$B$5,2,FALSE)),0,VLOOKUP(A247,'pagos anticipados'!$A$2:B245,2,FALSE)))</f>
        <v/>
      </c>
      <c r="M247" s="4" t="str">
        <f t="shared" si="76"/>
        <v/>
      </c>
      <c r="N247" s="1">
        <f t="shared" si="77"/>
        <v>0</v>
      </c>
      <c r="Q247" s="44" t="str">
        <f t="shared" si="84"/>
        <v/>
      </c>
      <c r="R247" s="44" t="str">
        <f t="shared" si="93"/>
        <v/>
      </c>
      <c r="S247" s="44" t="str">
        <f t="shared" si="85"/>
        <v/>
      </c>
      <c r="U247" s="42" t="str">
        <f t="shared" si="94"/>
        <v/>
      </c>
      <c r="V247" s="41" t="str">
        <f t="shared" si="95"/>
        <v/>
      </c>
      <c r="W247" s="41" t="str">
        <f t="shared" si="100"/>
        <v/>
      </c>
      <c r="Y247" s="35" t="str">
        <f t="shared" si="86"/>
        <v/>
      </c>
      <c r="Z247" s="34" t="str">
        <f t="shared" si="96"/>
        <v/>
      </c>
      <c r="AA247" s="34" t="str">
        <f t="shared" si="78"/>
        <v/>
      </c>
      <c r="AC247" s="36" t="str">
        <f t="shared" si="87"/>
        <v/>
      </c>
      <c r="AE247" s="37">
        <f t="shared" si="88"/>
        <v>0</v>
      </c>
      <c r="AG247" s="56" t="str">
        <f t="shared" si="97"/>
        <v/>
      </c>
      <c r="AH247" s="57" t="str">
        <f t="shared" si="89"/>
        <v/>
      </c>
      <c r="AI247" s="57" t="str">
        <f t="shared" si="98"/>
        <v/>
      </c>
      <c r="AJ247" s="57" t="str">
        <f t="shared" si="90"/>
        <v/>
      </c>
      <c r="AK247" s="57" t="str">
        <f t="shared" si="99"/>
        <v/>
      </c>
    </row>
    <row r="248" spans="1:37">
      <c r="A248" s="2" t="str">
        <f t="shared" si="91"/>
        <v/>
      </c>
      <c r="B248" s="10" t="str">
        <f t="shared" si="79"/>
        <v/>
      </c>
      <c r="C248" s="18" t="str">
        <f t="shared" si="80"/>
        <v/>
      </c>
      <c r="D248" s="4" t="str">
        <f t="shared" si="92"/>
        <v/>
      </c>
      <c r="E248" s="4" t="str">
        <f t="shared" si="81"/>
        <v/>
      </c>
      <c r="F248" s="4" t="str">
        <f t="shared" si="82"/>
        <v/>
      </c>
      <c r="G248" s="4" t="str">
        <f t="shared" si="83"/>
        <v/>
      </c>
      <c r="H248" s="4"/>
      <c r="I248" s="4"/>
      <c r="J248" s="4"/>
      <c r="K248" s="4"/>
      <c r="L248" s="4" t="str">
        <f>IF(A248="","",IF(ISERROR(VLOOKUP(A248,'pagos anticipados'!$A$2:$B$5,2,FALSE)),0,VLOOKUP(A248,'pagos anticipados'!$A$2:B246,2,FALSE)))</f>
        <v/>
      </c>
      <c r="M248" s="4" t="str">
        <f t="shared" si="76"/>
        <v/>
      </c>
      <c r="N248" s="1">
        <f t="shared" si="77"/>
        <v>0</v>
      </c>
      <c r="Q248" s="44" t="str">
        <f t="shared" si="84"/>
        <v/>
      </c>
      <c r="R248" s="44" t="str">
        <f t="shared" si="93"/>
        <v/>
      </c>
      <c r="S248" s="44" t="str">
        <f t="shared" si="85"/>
        <v/>
      </c>
      <c r="U248" s="42" t="str">
        <f t="shared" si="94"/>
        <v/>
      </c>
      <c r="V248" s="41" t="str">
        <f t="shared" si="95"/>
        <v/>
      </c>
      <c r="W248" s="41" t="str">
        <f t="shared" si="100"/>
        <v/>
      </c>
      <c r="Y248" s="35" t="str">
        <f t="shared" si="86"/>
        <v/>
      </c>
      <c r="Z248" s="34" t="str">
        <f t="shared" si="96"/>
        <v/>
      </c>
      <c r="AA248" s="34" t="str">
        <f t="shared" si="78"/>
        <v/>
      </c>
      <c r="AC248" s="36" t="str">
        <f t="shared" si="87"/>
        <v/>
      </c>
      <c r="AE248" s="37">
        <f t="shared" si="88"/>
        <v>0</v>
      </c>
      <c r="AG248" s="56" t="str">
        <f t="shared" si="97"/>
        <v/>
      </c>
      <c r="AH248" s="57" t="str">
        <f t="shared" si="89"/>
        <v/>
      </c>
      <c r="AI248" s="57" t="str">
        <f t="shared" si="98"/>
        <v/>
      </c>
      <c r="AJ248" s="57" t="str">
        <f t="shared" si="90"/>
        <v/>
      </c>
      <c r="AK248" s="57" t="str">
        <f t="shared" si="99"/>
        <v/>
      </c>
    </row>
    <row r="249" spans="1:37">
      <c r="A249" s="2" t="str">
        <f t="shared" si="91"/>
        <v/>
      </c>
      <c r="B249" s="10" t="str">
        <f t="shared" si="79"/>
        <v/>
      </c>
      <c r="C249" s="18" t="str">
        <f t="shared" si="80"/>
        <v/>
      </c>
      <c r="D249" s="4" t="str">
        <f t="shared" si="92"/>
        <v/>
      </c>
      <c r="E249" s="4" t="str">
        <f t="shared" si="81"/>
        <v/>
      </c>
      <c r="F249" s="4" t="str">
        <f t="shared" si="82"/>
        <v/>
      </c>
      <c r="G249" s="4" t="str">
        <f t="shared" si="83"/>
        <v/>
      </c>
      <c r="H249" s="4"/>
      <c r="I249" s="4"/>
      <c r="J249" s="4"/>
      <c r="K249" s="4"/>
      <c r="L249" s="4" t="str">
        <f>IF(A249="","",IF(ISERROR(VLOOKUP(A249,'pagos anticipados'!$A$2:$B$5,2,FALSE)),0,VLOOKUP(A249,'pagos anticipados'!$A$2:B247,2,FALSE)))</f>
        <v/>
      </c>
      <c r="M249" s="4" t="str">
        <f t="shared" si="76"/>
        <v/>
      </c>
      <c r="N249" s="1">
        <f t="shared" si="77"/>
        <v>0</v>
      </c>
      <c r="Q249" s="44" t="str">
        <f t="shared" si="84"/>
        <v/>
      </c>
      <c r="R249" s="44" t="str">
        <f t="shared" si="93"/>
        <v/>
      </c>
      <c r="S249" s="44" t="str">
        <f t="shared" si="85"/>
        <v/>
      </c>
      <c r="U249" s="42" t="str">
        <f t="shared" si="94"/>
        <v/>
      </c>
      <c r="V249" s="41" t="str">
        <f t="shared" si="95"/>
        <v/>
      </c>
      <c r="W249" s="41" t="str">
        <f t="shared" si="100"/>
        <v/>
      </c>
      <c r="Y249" s="35" t="str">
        <f t="shared" si="86"/>
        <v/>
      </c>
      <c r="Z249" s="34" t="str">
        <f t="shared" si="96"/>
        <v/>
      </c>
      <c r="AA249" s="34" t="str">
        <f t="shared" si="78"/>
        <v/>
      </c>
      <c r="AC249" s="36" t="str">
        <f t="shared" si="87"/>
        <v/>
      </c>
      <c r="AE249" s="37">
        <f t="shared" si="88"/>
        <v>0</v>
      </c>
      <c r="AG249" s="56" t="str">
        <f t="shared" si="97"/>
        <v/>
      </c>
      <c r="AH249" s="57" t="str">
        <f t="shared" si="89"/>
        <v/>
      </c>
      <c r="AI249" s="57" t="str">
        <f t="shared" si="98"/>
        <v/>
      </c>
      <c r="AJ249" s="57" t="str">
        <f t="shared" si="90"/>
        <v/>
      </c>
      <c r="AK249" s="57" t="str">
        <f t="shared" si="99"/>
        <v/>
      </c>
    </row>
    <row r="250" spans="1:37">
      <c r="A250" s="2" t="str">
        <f t="shared" si="91"/>
        <v/>
      </c>
      <c r="B250" s="10" t="str">
        <f t="shared" si="79"/>
        <v/>
      </c>
      <c r="C250" s="18" t="str">
        <f t="shared" si="80"/>
        <v/>
      </c>
      <c r="D250" s="4" t="str">
        <f t="shared" si="92"/>
        <v/>
      </c>
      <c r="E250" s="4" t="str">
        <f t="shared" si="81"/>
        <v/>
      </c>
      <c r="F250" s="4" t="str">
        <f t="shared" si="82"/>
        <v/>
      </c>
      <c r="G250" s="4" t="str">
        <f t="shared" si="83"/>
        <v/>
      </c>
      <c r="H250" s="4"/>
      <c r="I250" s="4"/>
      <c r="J250" s="4"/>
      <c r="K250" s="4"/>
      <c r="L250" s="4" t="str">
        <f>IF(A250="","",IF(ISERROR(VLOOKUP(A250,'pagos anticipados'!$A$2:$B$5,2,FALSE)),0,VLOOKUP(A250,'pagos anticipados'!$A$2:B248,2,FALSE)))</f>
        <v/>
      </c>
      <c r="M250" s="4" t="str">
        <f t="shared" si="76"/>
        <v/>
      </c>
      <c r="N250" s="1">
        <f t="shared" si="77"/>
        <v>0</v>
      </c>
      <c r="Q250" s="44" t="str">
        <f t="shared" si="84"/>
        <v/>
      </c>
      <c r="R250" s="44" t="str">
        <f t="shared" si="93"/>
        <v/>
      </c>
      <c r="S250" s="44" t="str">
        <f t="shared" si="85"/>
        <v/>
      </c>
      <c r="U250" s="42" t="str">
        <f t="shared" si="94"/>
        <v/>
      </c>
      <c r="V250" s="41" t="str">
        <f t="shared" si="95"/>
        <v/>
      </c>
      <c r="W250" s="41" t="str">
        <f t="shared" si="100"/>
        <v/>
      </c>
      <c r="Y250" s="35" t="str">
        <f t="shared" si="86"/>
        <v/>
      </c>
      <c r="Z250" s="34" t="str">
        <f t="shared" si="96"/>
        <v/>
      </c>
      <c r="AA250" s="34" t="str">
        <f t="shared" si="78"/>
        <v/>
      </c>
      <c r="AC250" s="36" t="str">
        <f t="shared" si="87"/>
        <v/>
      </c>
      <c r="AE250" s="37">
        <f t="shared" si="88"/>
        <v>0</v>
      </c>
      <c r="AG250" s="56" t="str">
        <f t="shared" si="97"/>
        <v/>
      </c>
      <c r="AH250" s="57" t="str">
        <f t="shared" si="89"/>
        <v/>
      </c>
      <c r="AI250" s="57" t="str">
        <f t="shared" si="98"/>
        <v/>
      </c>
      <c r="AJ250" s="57" t="str">
        <f t="shared" si="90"/>
        <v/>
      </c>
      <c r="AK250" s="57" t="str">
        <f t="shared" si="99"/>
        <v/>
      </c>
    </row>
    <row r="251" spans="1:37">
      <c r="A251" s="2" t="str">
        <f t="shared" si="91"/>
        <v/>
      </c>
      <c r="B251" s="10" t="str">
        <f t="shared" si="79"/>
        <v/>
      </c>
      <c r="C251" s="18" t="str">
        <f t="shared" si="80"/>
        <v/>
      </c>
      <c r="D251" s="4" t="str">
        <f t="shared" si="92"/>
        <v/>
      </c>
      <c r="E251" s="4" t="str">
        <f t="shared" si="81"/>
        <v/>
      </c>
      <c r="F251" s="4" t="str">
        <f t="shared" si="82"/>
        <v/>
      </c>
      <c r="G251" s="4" t="str">
        <f t="shared" si="83"/>
        <v/>
      </c>
      <c r="H251" s="4"/>
      <c r="I251" s="4"/>
      <c r="J251" s="4"/>
      <c r="K251" s="4"/>
      <c r="L251" s="4" t="str">
        <f>IF(A251="","",IF(ISERROR(VLOOKUP(A251,'pagos anticipados'!$A$2:$B$5,2,FALSE)),0,VLOOKUP(A251,'pagos anticipados'!$A$2:B249,2,FALSE)))</f>
        <v/>
      </c>
      <c r="M251" s="4" t="str">
        <f t="shared" si="76"/>
        <v/>
      </c>
      <c r="N251" s="1">
        <f t="shared" si="77"/>
        <v>0</v>
      </c>
      <c r="Q251" s="44" t="str">
        <f t="shared" si="84"/>
        <v/>
      </c>
      <c r="R251" s="44" t="str">
        <f t="shared" si="93"/>
        <v/>
      </c>
      <c r="S251" s="44" t="str">
        <f t="shared" si="85"/>
        <v/>
      </c>
      <c r="U251" s="42" t="str">
        <f t="shared" si="94"/>
        <v/>
      </c>
      <c r="V251" s="41" t="str">
        <f t="shared" si="95"/>
        <v/>
      </c>
      <c r="W251" s="41" t="str">
        <f t="shared" si="100"/>
        <v/>
      </c>
      <c r="Y251" s="35" t="str">
        <f t="shared" si="86"/>
        <v/>
      </c>
      <c r="Z251" s="34" t="str">
        <f t="shared" si="96"/>
        <v/>
      </c>
      <c r="AA251" s="34" t="str">
        <f t="shared" si="78"/>
        <v/>
      </c>
      <c r="AC251" s="36" t="str">
        <f t="shared" si="87"/>
        <v/>
      </c>
      <c r="AE251" s="37">
        <f t="shared" si="88"/>
        <v>0</v>
      </c>
      <c r="AG251" s="56" t="str">
        <f t="shared" si="97"/>
        <v/>
      </c>
      <c r="AH251" s="57" t="str">
        <f t="shared" si="89"/>
        <v/>
      </c>
      <c r="AI251" s="57" t="str">
        <f t="shared" si="98"/>
        <v/>
      </c>
      <c r="AJ251" s="57" t="str">
        <f t="shared" si="90"/>
        <v/>
      </c>
      <c r="AK251" s="57" t="str">
        <f t="shared" si="99"/>
        <v/>
      </c>
    </row>
    <row r="252" spans="1:37">
      <c r="A252" s="2" t="str">
        <f t="shared" si="91"/>
        <v/>
      </c>
      <c r="B252" s="10" t="str">
        <f t="shared" si="79"/>
        <v/>
      </c>
      <c r="C252" s="18" t="str">
        <f t="shared" si="80"/>
        <v/>
      </c>
      <c r="D252" s="4" t="str">
        <f t="shared" si="92"/>
        <v/>
      </c>
      <c r="E252" s="4" t="str">
        <f t="shared" si="81"/>
        <v/>
      </c>
      <c r="F252" s="4" t="str">
        <f t="shared" si="82"/>
        <v/>
      </c>
      <c r="G252" s="4" t="str">
        <f t="shared" si="83"/>
        <v/>
      </c>
      <c r="H252" s="4"/>
      <c r="I252" s="4"/>
      <c r="J252" s="4"/>
      <c r="K252" s="4"/>
      <c r="L252" s="4" t="str">
        <f>IF(A252="","",IF(ISERROR(VLOOKUP(A252,'pagos anticipados'!$A$2:$B$5,2,FALSE)),0,VLOOKUP(A252,'pagos anticipados'!$A$2:B250,2,FALSE)))</f>
        <v/>
      </c>
      <c r="M252" s="4" t="str">
        <f t="shared" si="76"/>
        <v/>
      </c>
      <c r="N252" s="1">
        <f t="shared" si="77"/>
        <v>0</v>
      </c>
      <c r="Q252" s="44" t="str">
        <f t="shared" si="84"/>
        <v/>
      </c>
      <c r="R252" s="44" t="str">
        <f t="shared" si="93"/>
        <v/>
      </c>
      <c r="S252" s="44" t="str">
        <f t="shared" si="85"/>
        <v/>
      </c>
      <c r="U252" s="42" t="str">
        <f t="shared" si="94"/>
        <v/>
      </c>
      <c r="V252" s="41" t="str">
        <f t="shared" si="95"/>
        <v/>
      </c>
      <c r="W252" s="41" t="str">
        <f t="shared" si="100"/>
        <v/>
      </c>
      <c r="Y252" s="35" t="str">
        <f t="shared" si="86"/>
        <v/>
      </c>
      <c r="Z252" s="34" t="str">
        <f t="shared" si="96"/>
        <v/>
      </c>
      <c r="AA252" s="34" t="str">
        <f t="shared" si="78"/>
        <v/>
      </c>
      <c r="AC252" s="36" t="str">
        <f t="shared" si="87"/>
        <v/>
      </c>
      <c r="AE252" s="37">
        <f t="shared" si="88"/>
        <v>0</v>
      </c>
      <c r="AG252" s="56" t="str">
        <f t="shared" si="97"/>
        <v/>
      </c>
      <c r="AH252" s="57" t="str">
        <f t="shared" si="89"/>
        <v/>
      </c>
      <c r="AI252" s="57" t="str">
        <f t="shared" si="98"/>
        <v/>
      </c>
      <c r="AJ252" s="57" t="str">
        <f t="shared" si="90"/>
        <v/>
      </c>
      <c r="AK252" s="57" t="str">
        <f t="shared" si="99"/>
        <v/>
      </c>
    </row>
    <row r="253" spans="1:37">
      <c r="A253" s="2" t="str">
        <f t="shared" si="91"/>
        <v/>
      </c>
      <c r="B253" s="10" t="str">
        <f t="shared" si="79"/>
        <v/>
      </c>
      <c r="C253" s="18" t="str">
        <f t="shared" si="80"/>
        <v/>
      </c>
      <c r="D253" s="4" t="str">
        <f t="shared" si="92"/>
        <v/>
      </c>
      <c r="E253" s="4" t="str">
        <f t="shared" si="81"/>
        <v/>
      </c>
      <c r="F253" s="4" t="str">
        <f t="shared" si="82"/>
        <v/>
      </c>
      <c r="G253" s="4" t="str">
        <f t="shared" si="83"/>
        <v/>
      </c>
      <c r="H253" s="4"/>
      <c r="I253" s="4"/>
      <c r="J253" s="4"/>
      <c r="K253" s="4"/>
      <c r="L253" s="4" t="str">
        <f>IF(A253="","",IF(ISERROR(VLOOKUP(A253,'pagos anticipados'!$A$2:$B$5,2,FALSE)),0,VLOOKUP(A253,'pagos anticipados'!$A$2:B251,2,FALSE)))</f>
        <v/>
      </c>
      <c r="M253" s="4" t="str">
        <f t="shared" si="76"/>
        <v/>
      </c>
      <c r="N253" s="1">
        <f t="shared" si="77"/>
        <v>0</v>
      </c>
      <c r="Q253" s="44" t="str">
        <f t="shared" si="84"/>
        <v/>
      </c>
      <c r="R253" s="44" t="str">
        <f t="shared" si="93"/>
        <v/>
      </c>
      <c r="S253" s="44" t="str">
        <f t="shared" si="85"/>
        <v/>
      </c>
      <c r="U253" s="42" t="str">
        <f t="shared" si="94"/>
        <v/>
      </c>
      <c r="V253" s="41" t="str">
        <f t="shared" si="95"/>
        <v/>
      </c>
      <c r="W253" s="41" t="str">
        <f t="shared" si="100"/>
        <v/>
      </c>
      <c r="Y253" s="35" t="str">
        <f t="shared" si="86"/>
        <v/>
      </c>
      <c r="Z253" s="34" t="str">
        <f t="shared" si="96"/>
        <v/>
      </c>
      <c r="AA253" s="34" t="str">
        <f t="shared" si="78"/>
        <v/>
      </c>
      <c r="AC253" s="36" t="str">
        <f t="shared" si="87"/>
        <v/>
      </c>
      <c r="AE253" s="37">
        <f t="shared" si="88"/>
        <v>0</v>
      </c>
      <c r="AG253" s="56" t="str">
        <f t="shared" si="97"/>
        <v/>
      </c>
      <c r="AH253" s="57" t="str">
        <f t="shared" si="89"/>
        <v/>
      </c>
      <c r="AI253" s="57" t="str">
        <f t="shared" si="98"/>
        <v/>
      </c>
      <c r="AJ253" s="57" t="str">
        <f t="shared" si="90"/>
        <v/>
      </c>
      <c r="AK253" s="57" t="str">
        <f t="shared" si="99"/>
        <v/>
      </c>
    </row>
    <row r="254" spans="1:37">
      <c r="A254" s="2" t="str">
        <f t="shared" si="91"/>
        <v/>
      </c>
      <c r="B254" s="10" t="str">
        <f t="shared" si="79"/>
        <v/>
      </c>
      <c r="C254" s="18" t="str">
        <f t="shared" si="80"/>
        <v/>
      </c>
      <c r="D254" s="4" t="str">
        <f t="shared" si="92"/>
        <v/>
      </c>
      <c r="E254" s="4" t="str">
        <f t="shared" si="81"/>
        <v/>
      </c>
      <c r="F254" s="4" t="str">
        <f t="shared" si="82"/>
        <v/>
      </c>
      <c r="G254" s="4" t="str">
        <f t="shared" si="83"/>
        <v/>
      </c>
      <c r="H254" s="4"/>
      <c r="I254" s="4"/>
      <c r="J254" s="4"/>
      <c r="K254" s="4"/>
      <c r="L254" s="4" t="str">
        <f>IF(A254="","",IF(ISERROR(VLOOKUP(A254,'pagos anticipados'!$A$2:$B$5,2,FALSE)),0,VLOOKUP(A254,'pagos anticipados'!$A$2:B252,2,FALSE)))</f>
        <v/>
      </c>
      <c r="M254" s="4" t="str">
        <f t="shared" si="76"/>
        <v/>
      </c>
      <c r="N254" s="1">
        <f t="shared" si="77"/>
        <v>0</v>
      </c>
      <c r="Q254" s="44" t="str">
        <f t="shared" si="84"/>
        <v/>
      </c>
      <c r="R254" s="44" t="str">
        <f t="shared" si="93"/>
        <v/>
      </c>
      <c r="S254" s="44" t="str">
        <f t="shared" si="85"/>
        <v/>
      </c>
      <c r="U254" s="42" t="str">
        <f t="shared" si="94"/>
        <v/>
      </c>
      <c r="V254" s="41" t="str">
        <f t="shared" si="95"/>
        <v/>
      </c>
      <c r="W254" s="41" t="str">
        <f t="shared" si="100"/>
        <v/>
      </c>
      <c r="Y254" s="35" t="str">
        <f t="shared" si="86"/>
        <v/>
      </c>
      <c r="Z254" s="34" t="str">
        <f t="shared" si="96"/>
        <v/>
      </c>
      <c r="AA254" s="34" t="str">
        <f t="shared" si="78"/>
        <v/>
      </c>
      <c r="AC254" s="36" t="str">
        <f t="shared" si="87"/>
        <v/>
      </c>
      <c r="AE254" s="37">
        <f t="shared" si="88"/>
        <v>0</v>
      </c>
      <c r="AG254" s="56" t="str">
        <f t="shared" si="97"/>
        <v/>
      </c>
      <c r="AH254" s="57" t="str">
        <f t="shared" si="89"/>
        <v/>
      </c>
      <c r="AI254" s="57" t="str">
        <f t="shared" si="98"/>
        <v/>
      </c>
      <c r="AJ254" s="57" t="str">
        <f t="shared" si="90"/>
        <v/>
      </c>
      <c r="AK254" s="57" t="str">
        <f t="shared" si="99"/>
        <v/>
      </c>
    </row>
    <row r="255" spans="1:37">
      <c r="A255" s="2" t="str">
        <f t="shared" si="91"/>
        <v/>
      </c>
      <c r="B255" s="10" t="str">
        <f t="shared" si="79"/>
        <v/>
      </c>
      <c r="C255" s="18" t="str">
        <f t="shared" si="80"/>
        <v/>
      </c>
      <c r="D255" s="4" t="str">
        <f t="shared" si="92"/>
        <v/>
      </c>
      <c r="E255" s="4" t="str">
        <f t="shared" si="81"/>
        <v/>
      </c>
      <c r="F255" s="4" t="str">
        <f t="shared" si="82"/>
        <v/>
      </c>
      <c r="G255" s="4" t="str">
        <f t="shared" si="83"/>
        <v/>
      </c>
      <c r="H255" s="4"/>
      <c r="I255" s="4"/>
      <c r="J255" s="4"/>
      <c r="K255" s="4"/>
      <c r="L255" s="4" t="str">
        <f>IF(A255="","",IF(ISERROR(VLOOKUP(A255,'pagos anticipados'!$A$2:$B$5,2,FALSE)),0,VLOOKUP(A255,'pagos anticipados'!$A$2:B253,2,FALSE)))</f>
        <v/>
      </c>
      <c r="M255" s="4" t="str">
        <f t="shared" si="76"/>
        <v/>
      </c>
      <c r="N255" s="1">
        <f t="shared" si="77"/>
        <v>0</v>
      </c>
      <c r="Q255" s="44" t="str">
        <f t="shared" si="84"/>
        <v/>
      </c>
      <c r="R255" s="44" t="str">
        <f t="shared" si="93"/>
        <v/>
      </c>
      <c r="S255" s="44" t="str">
        <f t="shared" si="85"/>
        <v/>
      </c>
      <c r="U255" s="42" t="str">
        <f t="shared" si="94"/>
        <v/>
      </c>
      <c r="V255" s="41" t="str">
        <f t="shared" si="95"/>
        <v/>
      </c>
      <c r="W255" s="41" t="str">
        <f t="shared" si="100"/>
        <v/>
      </c>
      <c r="Y255" s="35" t="str">
        <f t="shared" si="86"/>
        <v/>
      </c>
      <c r="Z255" s="34" t="str">
        <f t="shared" si="96"/>
        <v/>
      </c>
      <c r="AA255" s="34" t="str">
        <f t="shared" si="78"/>
        <v/>
      </c>
      <c r="AC255" s="36" t="str">
        <f t="shared" si="87"/>
        <v/>
      </c>
      <c r="AE255" s="37">
        <f t="shared" si="88"/>
        <v>0</v>
      </c>
      <c r="AG255" s="56" t="str">
        <f t="shared" si="97"/>
        <v/>
      </c>
      <c r="AH255" s="57" t="str">
        <f t="shared" si="89"/>
        <v/>
      </c>
      <c r="AI255" s="57" t="str">
        <f t="shared" si="98"/>
        <v/>
      </c>
      <c r="AJ255" s="57" t="str">
        <f t="shared" si="90"/>
        <v/>
      </c>
      <c r="AK255" s="57" t="str">
        <f t="shared" si="99"/>
        <v/>
      </c>
    </row>
    <row r="256" spans="1:37">
      <c r="A256" s="2" t="str">
        <f t="shared" si="91"/>
        <v/>
      </c>
      <c r="B256" s="10" t="str">
        <f t="shared" si="79"/>
        <v/>
      </c>
      <c r="C256" s="18" t="str">
        <f t="shared" si="80"/>
        <v/>
      </c>
      <c r="D256" s="4" t="str">
        <f t="shared" si="92"/>
        <v/>
      </c>
      <c r="E256" s="4" t="str">
        <f t="shared" si="81"/>
        <v/>
      </c>
      <c r="F256" s="4" t="str">
        <f t="shared" si="82"/>
        <v/>
      </c>
      <c r="G256" s="4" t="str">
        <f t="shared" si="83"/>
        <v/>
      </c>
      <c r="H256" s="4"/>
      <c r="I256" s="4"/>
      <c r="J256" s="4"/>
      <c r="K256" s="4"/>
      <c r="L256" s="4" t="str">
        <f>IF(A256="","",IF(ISERROR(VLOOKUP(A256,'pagos anticipados'!$A$2:$B$5,2,FALSE)),0,VLOOKUP(A256,'pagos anticipados'!$A$2:B254,2,FALSE)))</f>
        <v/>
      </c>
      <c r="M256" s="4" t="str">
        <f t="shared" si="76"/>
        <v/>
      </c>
      <c r="N256" s="1">
        <f t="shared" si="77"/>
        <v>0</v>
      </c>
      <c r="Q256" s="44" t="str">
        <f t="shared" si="84"/>
        <v/>
      </c>
      <c r="R256" s="44" t="str">
        <f t="shared" si="93"/>
        <v/>
      </c>
      <c r="S256" s="44" t="str">
        <f t="shared" si="85"/>
        <v/>
      </c>
      <c r="U256" s="42" t="str">
        <f t="shared" si="94"/>
        <v/>
      </c>
      <c r="V256" s="41" t="str">
        <f t="shared" si="95"/>
        <v/>
      </c>
      <c r="W256" s="41" t="str">
        <f t="shared" si="100"/>
        <v/>
      </c>
      <c r="Y256" s="35" t="str">
        <f t="shared" si="86"/>
        <v/>
      </c>
      <c r="Z256" s="34" t="str">
        <f t="shared" si="96"/>
        <v/>
      </c>
      <c r="AA256" s="34" t="str">
        <f t="shared" si="78"/>
        <v/>
      </c>
      <c r="AC256" s="36" t="str">
        <f t="shared" si="87"/>
        <v/>
      </c>
      <c r="AE256" s="37">
        <f t="shared" si="88"/>
        <v>0</v>
      </c>
      <c r="AG256" s="56" t="str">
        <f t="shared" si="97"/>
        <v/>
      </c>
      <c r="AH256" s="57" t="str">
        <f t="shared" si="89"/>
        <v/>
      </c>
      <c r="AI256" s="57" t="str">
        <f t="shared" si="98"/>
        <v/>
      </c>
      <c r="AJ256" s="57" t="str">
        <f t="shared" si="90"/>
        <v/>
      </c>
      <c r="AK256" s="57" t="str">
        <f t="shared" si="99"/>
        <v/>
      </c>
    </row>
    <row r="257" spans="1:37">
      <c r="A257" s="2" t="str">
        <f t="shared" si="91"/>
        <v/>
      </c>
      <c r="B257" s="10" t="str">
        <f t="shared" si="79"/>
        <v/>
      </c>
      <c r="C257" s="18" t="str">
        <f t="shared" si="80"/>
        <v/>
      </c>
      <c r="D257" s="4" t="str">
        <f t="shared" si="92"/>
        <v/>
      </c>
      <c r="E257" s="4" t="str">
        <f t="shared" si="81"/>
        <v/>
      </c>
      <c r="F257" s="4" t="str">
        <f t="shared" si="82"/>
        <v/>
      </c>
      <c r="G257" s="4" t="str">
        <f t="shared" si="83"/>
        <v/>
      </c>
      <c r="H257" s="4"/>
      <c r="I257" s="4"/>
      <c r="J257" s="4"/>
      <c r="K257" s="4"/>
      <c r="L257" s="4" t="str">
        <f>IF(A257="","",IF(ISERROR(VLOOKUP(A257,'pagos anticipados'!$A$2:$B$5,2,FALSE)),0,VLOOKUP(A257,'pagos anticipados'!$A$2:B255,2,FALSE)))</f>
        <v/>
      </c>
      <c r="M257" s="4" t="str">
        <f t="shared" si="76"/>
        <v/>
      </c>
      <c r="N257" s="1">
        <f t="shared" si="77"/>
        <v>0</v>
      </c>
      <c r="Q257" s="44" t="str">
        <f t="shared" si="84"/>
        <v/>
      </c>
      <c r="R257" s="44" t="str">
        <f t="shared" si="93"/>
        <v/>
      </c>
      <c r="S257" s="44" t="str">
        <f t="shared" si="85"/>
        <v/>
      </c>
      <c r="U257" s="42" t="str">
        <f t="shared" si="94"/>
        <v/>
      </c>
      <c r="V257" s="41" t="str">
        <f t="shared" si="95"/>
        <v/>
      </c>
      <c r="W257" s="41" t="str">
        <f t="shared" si="100"/>
        <v/>
      </c>
      <c r="Y257" s="35" t="str">
        <f t="shared" si="86"/>
        <v/>
      </c>
      <c r="Z257" s="34" t="str">
        <f t="shared" si="96"/>
        <v/>
      </c>
      <c r="AA257" s="34" t="str">
        <f t="shared" si="78"/>
        <v/>
      </c>
      <c r="AC257" s="36" t="str">
        <f t="shared" si="87"/>
        <v/>
      </c>
      <c r="AE257" s="37">
        <f t="shared" si="88"/>
        <v>0</v>
      </c>
      <c r="AG257" s="56" t="str">
        <f t="shared" si="97"/>
        <v/>
      </c>
      <c r="AH257" s="57" t="str">
        <f t="shared" si="89"/>
        <v/>
      </c>
      <c r="AI257" s="57" t="str">
        <f t="shared" si="98"/>
        <v/>
      </c>
      <c r="AJ257" s="57" t="str">
        <f t="shared" si="90"/>
        <v/>
      </c>
      <c r="AK257" s="57" t="str">
        <f t="shared" si="99"/>
        <v/>
      </c>
    </row>
    <row r="258" spans="1:37">
      <c r="A258" s="2" t="str">
        <f t="shared" si="91"/>
        <v/>
      </c>
      <c r="B258" s="10" t="str">
        <f t="shared" si="79"/>
        <v/>
      </c>
      <c r="C258" s="18" t="str">
        <f t="shared" si="80"/>
        <v/>
      </c>
      <c r="D258" s="4" t="str">
        <f t="shared" si="92"/>
        <v/>
      </c>
      <c r="E258" s="4" t="str">
        <f t="shared" si="81"/>
        <v/>
      </c>
      <c r="F258" s="4" t="str">
        <f t="shared" si="82"/>
        <v/>
      </c>
      <c r="G258" s="4" t="str">
        <f t="shared" si="83"/>
        <v/>
      </c>
      <c r="H258" s="4"/>
      <c r="I258" s="4"/>
      <c r="J258" s="4"/>
      <c r="K258" s="4"/>
      <c r="L258" s="4" t="str">
        <f>IF(A258="","",IF(ISERROR(VLOOKUP(A258,'pagos anticipados'!$A$2:$B$5,2,FALSE)),0,VLOOKUP(A258,'pagos anticipados'!$A$2:B256,2,FALSE)))</f>
        <v/>
      </c>
      <c r="M258" s="4" t="str">
        <f t="shared" si="76"/>
        <v/>
      </c>
      <c r="N258" s="1">
        <f t="shared" si="77"/>
        <v>0</v>
      </c>
      <c r="Q258" s="44" t="str">
        <f t="shared" si="84"/>
        <v/>
      </c>
      <c r="R258" s="44" t="str">
        <f t="shared" si="93"/>
        <v/>
      </c>
      <c r="S258" s="44" t="str">
        <f t="shared" si="85"/>
        <v/>
      </c>
      <c r="U258" s="42" t="str">
        <f t="shared" si="94"/>
        <v/>
      </c>
      <c r="V258" s="41" t="str">
        <f t="shared" si="95"/>
        <v/>
      </c>
      <c r="W258" s="41" t="str">
        <f t="shared" si="100"/>
        <v/>
      </c>
      <c r="Y258" s="35" t="str">
        <f t="shared" si="86"/>
        <v/>
      </c>
      <c r="Z258" s="34" t="str">
        <f t="shared" si="96"/>
        <v/>
      </c>
      <c r="AA258" s="34" t="str">
        <f t="shared" si="78"/>
        <v/>
      </c>
      <c r="AC258" s="36" t="str">
        <f t="shared" si="87"/>
        <v/>
      </c>
      <c r="AE258" s="37">
        <f t="shared" si="88"/>
        <v>0</v>
      </c>
      <c r="AG258" s="56" t="str">
        <f t="shared" si="97"/>
        <v/>
      </c>
      <c r="AH258" s="57" t="str">
        <f t="shared" si="89"/>
        <v/>
      </c>
      <c r="AI258" s="57" t="str">
        <f t="shared" si="98"/>
        <v/>
      </c>
      <c r="AJ258" s="57" t="str">
        <f t="shared" si="90"/>
        <v/>
      </c>
      <c r="AK258" s="57" t="str">
        <f t="shared" si="99"/>
        <v/>
      </c>
    </row>
    <row r="259" spans="1:37">
      <c r="A259" s="2" t="str">
        <f t="shared" si="91"/>
        <v/>
      </c>
      <c r="B259" s="10" t="str">
        <f t="shared" si="79"/>
        <v/>
      </c>
      <c r="C259" s="18" t="str">
        <f t="shared" si="80"/>
        <v/>
      </c>
      <c r="D259" s="4" t="str">
        <f t="shared" si="92"/>
        <v/>
      </c>
      <c r="E259" s="4" t="str">
        <f t="shared" si="81"/>
        <v/>
      </c>
      <c r="F259" s="4" t="str">
        <f t="shared" si="82"/>
        <v/>
      </c>
      <c r="G259" s="4" t="str">
        <f t="shared" si="83"/>
        <v/>
      </c>
      <c r="H259" s="4"/>
      <c r="I259" s="4"/>
      <c r="J259" s="4"/>
      <c r="K259" s="4"/>
      <c r="L259" s="4" t="str">
        <f>IF(A259="","",IF(ISERROR(VLOOKUP(A259,'pagos anticipados'!$A$2:$B$5,2,FALSE)),0,VLOOKUP(A259,'pagos anticipados'!$A$2:B257,2,FALSE)))</f>
        <v/>
      </c>
      <c r="M259" s="4" t="str">
        <f t="shared" si="76"/>
        <v/>
      </c>
      <c r="N259" s="1">
        <f t="shared" si="77"/>
        <v>0</v>
      </c>
      <c r="Q259" s="44" t="str">
        <f t="shared" si="84"/>
        <v/>
      </c>
      <c r="R259" s="44" t="str">
        <f t="shared" si="93"/>
        <v/>
      </c>
      <c r="S259" s="44" t="str">
        <f t="shared" si="85"/>
        <v/>
      </c>
      <c r="U259" s="42" t="str">
        <f t="shared" si="94"/>
        <v/>
      </c>
      <c r="V259" s="41" t="str">
        <f t="shared" si="95"/>
        <v/>
      </c>
      <c r="W259" s="41" t="str">
        <f t="shared" si="100"/>
        <v/>
      </c>
      <c r="Y259" s="35" t="str">
        <f t="shared" si="86"/>
        <v/>
      </c>
      <c r="Z259" s="34" t="str">
        <f t="shared" si="96"/>
        <v/>
      </c>
      <c r="AA259" s="34" t="str">
        <f t="shared" si="78"/>
        <v/>
      </c>
      <c r="AC259" s="36" t="str">
        <f t="shared" si="87"/>
        <v/>
      </c>
      <c r="AE259" s="37">
        <f t="shared" si="88"/>
        <v>0</v>
      </c>
      <c r="AG259" s="56" t="str">
        <f t="shared" si="97"/>
        <v/>
      </c>
      <c r="AH259" s="57" t="str">
        <f t="shared" si="89"/>
        <v/>
      </c>
      <c r="AI259" s="57" t="str">
        <f t="shared" si="98"/>
        <v/>
      </c>
      <c r="AJ259" s="57" t="str">
        <f t="shared" si="90"/>
        <v/>
      </c>
      <c r="AK259" s="57" t="str">
        <f t="shared" si="99"/>
        <v/>
      </c>
    </row>
    <row r="260" spans="1:37">
      <c r="A260" s="2" t="str">
        <f t="shared" si="91"/>
        <v/>
      </c>
      <c r="B260" s="10" t="str">
        <f t="shared" si="79"/>
        <v/>
      </c>
      <c r="C260" s="18" t="str">
        <f t="shared" si="80"/>
        <v/>
      </c>
      <c r="D260" s="4" t="str">
        <f t="shared" si="92"/>
        <v/>
      </c>
      <c r="E260" s="4" t="str">
        <f t="shared" si="81"/>
        <v/>
      </c>
      <c r="F260" s="4" t="str">
        <f t="shared" si="82"/>
        <v/>
      </c>
      <c r="G260" s="4" t="str">
        <f t="shared" si="83"/>
        <v/>
      </c>
      <c r="H260" s="4"/>
      <c r="I260" s="4"/>
      <c r="J260" s="4"/>
      <c r="K260" s="4"/>
      <c r="L260" s="4" t="str">
        <f>IF(A260="","",IF(ISERROR(VLOOKUP(A260,'pagos anticipados'!$A$2:$B$5,2,FALSE)),0,VLOOKUP(A260,'pagos anticipados'!$A$2:B258,2,FALSE)))</f>
        <v/>
      </c>
      <c r="M260" s="4" t="str">
        <f t="shared" si="76"/>
        <v/>
      </c>
      <c r="N260" s="1">
        <f t="shared" si="77"/>
        <v>0</v>
      </c>
      <c r="Q260" s="44" t="str">
        <f t="shared" si="84"/>
        <v/>
      </c>
      <c r="R260" s="44" t="str">
        <f t="shared" si="93"/>
        <v/>
      </c>
      <c r="S260" s="44" t="str">
        <f t="shared" si="85"/>
        <v/>
      </c>
      <c r="U260" s="42" t="str">
        <f t="shared" si="94"/>
        <v/>
      </c>
      <c r="V260" s="41" t="str">
        <f t="shared" si="95"/>
        <v/>
      </c>
      <c r="W260" s="41" t="str">
        <f t="shared" si="100"/>
        <v/>
      </c>
      <c r="Y260" s="35" t="str">
        <f t="shared" si="86"/>
        <v/>
      </c>
      <c r="Z260" s="34" t="str">
        <f t="shared" si="96"/>
        <v/>
      </c>
      <c r="AA260" s="34" t="str">
        <f t="shared" si="78"/>
        <v/>
      </c>
      <c r="AC260" s="36" t="str">
        <f t="shared" si="87"/>
        <v/>
      </c>
      <c r="AE260" s="37">
        <f t="shared" si="88"/>
        <v>0</v>
      </c>
      <c r="AG260" s="56" t="str">
        <f t="shared" si="97"/>
        <v/>
      </c>
      <c r="AH260" s="57" t="str">
        <f t="shared" si="89"/>
        <v/>
      </c>
      <c r="AI260" s="57" t="str">
        <f t="shared" si="98"/>
        <v/>
      </c>
      <c r="AJ260" s="57" t="str">
        <f t="shared" si="90"/>
        <v/>
      </c>
      <c r="AK260" s="57" t="str">
        <f t="shared" si="99"/>
        <v/>
      </c>
    </row>
    <row r="261" spans="1:37">
      <c r="A261" s="2" t="str">
        <f t="shared" si="91"/>
        <v/>
      </c>
      <c r="B261" s="10" t="str">
        <f t="shared" si="79"/>
        <v/>
      </c>
      <c r="C261" s="18" t="str">
        <f t="shared" si="80"/>
        <v/>
      </c>
      <c r="D261" s="4" t="str">
        <f t="shared" si="92"/>
        <v/>
      </c>
      <c r="E261" s="4" t="str">
        <f t="shared" si="81"/>
        <v/>
      </c>
      <c r="F261" s="4" t="str">
        <f t="shared" si="82"/>
        <v/>
      </c>
      <c r="G261" s="4" t="str">
        <f t="shared" si="83"/>
        <v/>
      </c>
      <c r="H261" s="4"/>
      <c r="I261" s="4"/>
      <c r="J261" s="4"/>
      <c r="K261" s="4"/>
      <c r="L261" s="4" t="str">
        <f>IF(A261="","",IF(ISERROR(VLOOKUP(A261,'pagos anticipados'!$A$2:$B$5,2,FALSE)),0,VLOOKUP(A261,'pagos anticipados'!$A$2:B259,2,FALSE)))</f>
        <v/>
      </c>
      <c r="M261" s="4" t="str">
        <f t="shared" si="76"/>
        <v/>
      </c>
      <c r="N261" s="1">
        <f t="shared" si="77"/>
        <v>0</v>
      </c>
      <c r="Q261" s="44" t="str">
        <f t="shared" si="84"/>
        <v/>
      </c>
      <c r="R261" s="44" t="str">
        <f t="shared" si="93"/>
        <v/>
      </c>
      <c r="S261" s="44" t="str">
        <f t="shared" si="85"/>
        <v/>
      </c>
      <c r="U261" s="42" t="str">
        <f t="shared" si="94"/>
        <v/>
      </c>
      <c r="V261" s="41" t="str">
        <f t="shared" si="95"/>
        <v/>
      </c>
      <c r="W261" s="41" t="str">
        <f t="shared" si="100"/>
        <v/>
      </c>
      <c r="Y261" s="35" t="str">
        <f t="shared" si="86"/>
        <v/>
      </c>
      <c r="Z261" s="34" t="str">
        <f t="shared" si="96"/>
        <v/>
      </c>
      <c r="AA261" s="34" t="str">
        <f t="shared" si="78"/>
        <v/>
      </c>
      <c r="AC261" s="36" t="str">
        <f t="shared" si="87"/>
        <v/>
      </c>
      <c r="AE261" s="37">
        <f t="shared" si="88"/>
        <v>0</v>
      </c>
      <c r="AG261" s="56" t="str">
        <f t="shared" si="97"/>
        <v/>
      </c>
      <c r="AH261" s="57" t="str">
        <f t="shared" si="89"/>
        <v/>
      </c>
      <c r="AI261" s="57" t="str">
        <f t="shared" si="98"/>
        <v/>
      </c>
      <c r="AJ261" s="57" t="str">
        <f t="shared" si="90"/>
        <v/>
      </c>
      <c r="AK261" s="57" t="str">
        <f t="shared" si="99"/>
        <v/>
      </c>
    </row>
    <row r="262" spans="1:37">
      <c r="A262" s="2" t="str">
        <f t="shared" si="91"/>
        <v/>
      </c>
      <c r="B262" s="10" t="str">
        <f t="shared" si="79"/>
        <v/>
      </c>
      <c r="C262" s="18" t="str">
        <f t="shared" si="80"/>
        <v/>
      </c>
      <c r="D262" s="4" t="str">
        <f t="shared" si="92"/>
        <v/>
      </c>
      <c r="E262" s="4" t="str">
        <f t="shared" si="81"/>
        <v/>
      </c>
      <c r="F262" s="4" t="str">
        <f t="shared" si="82"/>
        <v/>
      </c>
      <c r="G262" s="4" t="str">
        <f t="shared" si="83"/>
        <v/>
      </c>
      <c r="H262" s="4"/>
      <c r="I262" s="4"/>
      <c r="J262" s="4"/>
      <c r="K262" s="4"/>
      <c r="L262" s="4" t="str">
        <f>IF(A262="","",IF(ISERROR(VLOOKUP(A262,'pagos anticipados'!$A$2:$B$5,2,FALSE)),0,VLOOKUP(A262,'pagos anticipados'!$A$2:B260,2,FALSE)))</f>
        <v/>
      </c>
      <c r="M262" s="4" t="str">
        <f t="shared" si="76"/>
        <v/>
      </c>
      <c r="N262" s="1">
        <f t="shared" si="77"/>
        <v>0</v>
      </c>
      <c r="Q262" s="44" t="str">
        <f t="shared" si="84"/>
        <v/>
      </c>
      <c r="R262" s="44" t="str">
        <f t="shared" si="93"/>
        <v/>
      </c>
      <c r="S262" s="44" t="str">
        <f t="shared" si="85"/>
        <v/>
      </c>
      <c r="U262" s="42" t="str">
        <f t="shared" si="94"/>
        <v/>
      </c>
      <c r="V262" s="41" t="str">
        <f t="shared" si="95"/>
        <v/>
      </c>
      <c r="W262" s="41" t="str">
        <f t="shared" si="100"/>
        <v/>
      </c>
      <c r="Y262" s="35" t="str">
        <f t="shared" si="86"/>
        <v/>
      </c>
      <c r="Z262" s="34" t="str">
        <f t="shared" si="96"/>
        <v/>
      </c>
      <c r="AA262" s="34" t="str">
        <f t="shared" si="78"/>
        <v/>
      </c>
      <c r="AC262" s="36" t="str">
        <f t="shared" si="87"/>
        <v/>
      </c>
      <c r="AE262" s="37">
        <f t="shared" si="88"/>
        <v>0</v>
      </c>
      <c r="AG262" s="56" t="str">
        <f t="shared" si="97"/>
        <v/>
      </c>
      <c r="AH262" s="57" t="str">
        <f t="shared" si="89"/>
        <v/>
      </c>
      <c r="AI262" s="57" t="str">
        <f t="shared" si="98"/>
        <v/>
      </c>
      <c r="AJ262" s="57" t="str">
        <f t="shared" si="90"/>
        <v/>
      </c>
      <c r="AK262" s="57" t="str">
        <f t="shared" si="99"/>
        <v/>
      </c>
    </row>
    <row r="263" spans="1:37">
      <c r="A263" s="2" t="str">
        <f t="shared" si="91"/>
        <v/>
      </c>
      <c r="B263" s="10" t="str">
        <f t="shared" si="79"/>
        <v/>
      </c>
      <c r="C263" s="18" t="str">
        <f t="shared" si="80"/>
        <v/>
      </c>
      <c r="D263" s="4" t="str">
        <f t="shared" si="92"/>
        <v/>
      </c>
      <c r="E263" s="4" t="str">
        <f t="shared" si="81"/>
        <v/>
      </c>
      <c r="F263" s="4" t="str">
        <f t="shared" si="82"/>
        <v/>
      </c>
      <c r="G263" s="4" t="str">
        <f t="shared" si="83"/>
        <v/>
      </c>
      <c r="H263" s="4"/>
      <c r="I263" s="4"/>
      <c r="J263" s="4"/>
      <c r="K263" s="4"/>
      <c r="L263" s="4" t="str">
        <f>IF(A263="","",IF(ISERROR(VLOOKUP(A263,'pagos anticipados'!$A$2:$B$5,2,FALSE)),0,VLOOKUP(A263,'pagos anticipados'!$A$2:B261,2,FALSE)))</f>
        <v/>
      </c>
      <c r="M263" s="4" t="str">
        <f t="shared" ref="M263:M326" si="101">IF(A263="","",AK264-AJ264)</f>
        <v/>
      </c>
      <c r="N263" s="1">
        <f t="shared" ref="N263:N326" si="102">IF(A263="",0,+Q263/(1+$O$5)^(A263/No_pagos_al_año))</f>
        <v>0</v>
      </c>
      <c r="Q263" s="44" t="str">
        <f t="shared" si="84"/>
        <v/>
      </c>
      <c r="R263" s="44" t="str">
        <f t="shared" si="93"/>
        <v/>
      </c>
      <c r="S263" s="44" t="str">
        <f t="shared" si="85"/>
        <v/>
      </c>
      <c r="U263" s="42" t="str">
        <f t="shared" si="94"/>
        <v/>
      </c>
      <c r="V263" s="41" t="str">
        <f t="shared" si="95"/>
        <v/>
      </c>
      <c r="W263" s="41" t="str">
        <f t="shared" si="100"/>
        <v/>
      </c>
      <c r="Y263" s="35" t="str">
        <f t="shared" si="86"/>
        <v/>
      </c>
      <c r="Z263" s="34" t="str">
        <f t="shared" si="96"/>
        <v/>
      </c>
      <c r="AA263" s="34" t="str">
        <f t="shared" ref="AA263:AA326" si="103">IF(A263="","",+Z263-F263-G263)</f>
        <v/>
      </c>
      <c r="AC263" s="36" t="str">
        <f t="shared" si="87"/>
        <v/>
      </c>
      <c r="AE263" s="37">
        <f t="shared" si="88"/>
        <v>0</v>
      </c>
      <c r="AG263" s="56" t="str">
        <f t="shared" si="97"/>
        <v/>
      </c>
      <c r="AH263" s="57" t="str">
        <f t="shared" si="89"/>
        <v/>
      </c>
      <c r="AI263" s="57" t="str">
        <f t="shared" si="98"/>
        <v/>
      </c>
      <c r="AJ263" s="57" t="str">
        <f t="shared" si="90"/>
        <v/>
      </c>
      <c r="AK263" s="57" t="str">
        <f t="shared" si="99"/>
        <v/>
      </c>
    </row>
    <row r="264" spans="1:37">
      <c r="A264" s="2" t="str">
        <f t="shared" si="91"/>
        <v/>
      </c>
      <c r="B264" s="10" t="str">
        <f t="shared" ref="B264:B327" si="104">IF(A264="","",IF($A$2="mensual",30,IF($A$2="quincenal",15,IF($A$2="catorcenal",14,IF($A$2="decenal",10,IF($A$2="semanal",7))))))</f>
        <v/>
      </c>
      <c r="C264" s="18" t="str">
        <f t="shared" ref="C264:C327" si="105">IF(A264="","",$D$2/360*B264)</f>
        <v/>
      </c>
      <c r="D264" s="4" t="str">
        <f t="shared" si="92"/>
        <v/>
      </c>
      <c r="E264" s="4" t="str">
        <f t="shared" ref="E264:E327" si="106">IF(A264="","",IF(S264&gt;R264,R264,IF(AND($L$368=0,D265&lt;=0),R264,S264)))</f>
        <v/>
      </c>
      <c r="F264" s="4" t="str">
        <f t="shared" ref="F264:F327" si="107">IF(A264="","",D264*C264)</f>
        <v/>
      </c>
      <c r="G264" s="4" t="str">
        <f t="shared" ref="G264:G327" si="108">IF(A264="","",F264*$F$2)</f>
        <v/>
      </c>
      <c r="H264" s="4"/>
      <c r="I264" s="4"/>
      <c r="J264" s="4"/>
      <c r="K264" s="4"/>
      <c r="L264" s="4" t="str">
        <f>IF(A264="","",IF(ISERROR(VLOOKUP(A264,'pagos anticipados'!$A$2:$B$5,2,FALSE)),0,VLOOKUP(A264,'pagos anticipados'!$A$2:B262,2,FALSE)))</f>
        <v/>
      </c>
      <c r="M264" s="4" t="str">
        <f t="shared" si="101"/>
        <v/>
      </c>
      <c r="N264" s="1">
        <f t="shared" si="102"/>
        <v>0</v>
      </c>
      <c r="Q264" s="44" t="str">
        <f t="shared" ref="Q264:Q327" si="109">IF(A264="","",AK265-AJ265)</f>
        <v/>
      </c>
      <c r="R264" s="44" t="str">
        <f t="shared" si="93"/>
        <v/>
      </c>
      <c r="S264" s="44" t="str">
        <f t="shared" ref="S264:S327" si="110">IF(A264="","",IF($G$2="PLAZO Y PAGO",W264,IF($G$2="PAGO",AA264,IF($G$2="PLAZO",AC264,0))))</f>
        <v/>
      </c>
      <c r="U264" s="42" t="str">
        <f t="shared" si="94"/>
        <v/>
      </c>
      <c r="V264" s="41" t="str">
        <f t="shared" si="95"/>
        <v/>
      </c>
      <c r="W264" s="41" t="str">
        <f t="shared" si="100"/>
        <v/>
      </c>
      <c r="Y264" s="35" t="str">
        <f t="shared" ref="Y264:Y327" si="111">IF(A264="","",Y263-1)</f>
        <v/>
      </c>
      <c r="Z264" s="34" t="str">
        <f t="shared" si="96"/>
        <v/>
      </c>
      <c r="AA264" s="34" t="str">
        <f t="shared" si="103"/>
        <v/>
      </c>
      <c r="AC264" s="36" t="str">
        <f t="shared" ref="AC264:AC327" si="112">IF(A264="","",PAGO_FIJO-F264-G264)</f>
        <v/>
      </c>
      <c r="AE264" s="37">
        <f t="shared" ref="AE264:AE327" si="113">IF(AND(A264&lt;=Total_pagos,D264&gt;0),1,0)</f>
        <v>0</v>
      </c>
      <c r="AG264" s="56" t="str">
        <f t="shared" si="97"/>
        <v/>
      </c>
      <c r="AH264" s="57" t="str">
        <f t="shared" ref="AH264:AH327" si="114">IF(A263="","",+AG264*Tasa_del_período_sin_iva)</f>
        <v/>
      </c>
      <c r="AI264" s="57" t="str">
        <f t="shared" si="98"/>
        <v/>
      </c>
      <c r="AJ264" s="57" t="str">
        <f t="shared" ref="AJ264:AJ327" si="115">IF(A263="","",AH264*I.V.A.)</f>
        <v/>
      </c>
      <c r="AK264" s="57" t="str">
        <f t="shared" si="99"/>
        <v/>
      </c>
    </row>
    <row r="265" spans="1:37">
      <c r="A265" s="2" t="str">
        <f t="shared" ref="A265:A328" si="116">IF(OR(A264&gt;=$K$4,A264=""),"",A264+1)</f>
        <v/>
      </c>
      <c r="B265" s="10" t="str">
        <f t="shared" si="104"/>
        <v/>
      </c>
      <c r="C265" s="18" t="str">
        <f t="shared" si="105"/>
        <v/>
      </c>
      <c r="D265" s="4" t="str">
        <f t="shared" ref="D265:D328" si="117">IF(A265="","",R265)</f>
        <v/>
      </c>
      <c r="E265" s="4" t="str">
        <f t="shared" si="106"/>
        <v/>
      </c>
      <c r="F265" s="4" t="str">
        <f t="shared" si="107"/>
        <v/>
      </c>
      <c r="G265" s="4" t="str">
        <f t="shared" si="108"/>
        <v/>
      </c>
      <c r="H265" s="4"/>
      <c r="I265" s="4"/>
      <c r="J265" s="4"/>
      <c r="K265" s="4"/>
      <c r="L265" s="4" t="str">
        <f>IF(A265="","",IF(ISERROR(VLOOKUP(A265,'pagos anticipados'!$A$2:$B$5,2,FALSE)),0,VLOOKUP(A265,'pagos anticipados'!$A$2:B263,2,FALSE)))</f>
        <v/>
      </c>
      <c r="M265" s="4" t="str">
        <f t="shared" si="101"/>
        <v/>
      </c>
      <c r="N265" s="1">
        <f t="shared" si="102"/>
        <v>0</v>
      </c>
      <c r="Q265" s="44" t="str">
        <f t="shared" si="109"/>
        <v/>
      </c>
      <c r="R265" s="44" t="str">
        <f t="shared" ref="R265:R328" si="118">IF(A265="","",IF((R264-S264-L264)&lt;=0,0,(+R264-S264-L264)))</f>
        <v/>
      </c>
      <c r="S265" s="44" t="str">
        <f t="shared" si="110"/>
        <v/>
      </c>
      <c r="U265" s="42" t="str">
        <f t="shared" ref="U265:U328" si="119">IF(A265="","",U264-(PAGO_FIJO-V264))</f>
        <v/>
      </c>
      <c r="V265" s="41" t="str">
        <f t="shared" ref="V265:V328" si="120">IF(A265="","",+U265*Tasa_del_período_sin_iva*(1+I.V.A.))</f>
        <v/>
      </c>
      <c r="W265" s="41" t="str">
        <f t="shared" si="100"/>
        <v/>
      </c>
      <c r="Y265" s="35" t="str">
        <f t="shared" si="111"/>
        <v/>
      </c>
      <c r="Z265" s="34" t="str">
        <f t="shared" ref="Z265:Z328" si="121">IF(A265="","",IF(L264=0,Z264,PMT((Tasa_anual_sin_iva*(1+I.V.A.))/No_pagos_al_año,Y265,-R265)-(R265*(Tasa_anual_sin_iva*(1+I.V.A.))/No_pagos_al_año)+(R265*Tasa_del_período_sin_iva*(1+I.V.A.))))</f>
        <v/>
      </c>
      <c r="AA265" s="34" t="str">
        <f t="shared" si="103"/>
        <v/>
      </c>
      <c r="AC265" s="36" t="str">
        <f t="shared" si="112"/>
        <v/>
      </c>
      <c r="AE265" s="37">
        <f t="shared" si="113"/>
        <v>0</v>
      </c>
      <c r="AG265" s="56" t="str">
        <f t="shared" ref="AG265:AG328" si="122">IF(A264="","",AG264-AI264)</f>
        <v/>
      </c>
      <c r="AH265" s="57" t="str">
        <f t="shared" si="114"/>
        <v/>
      </c>
      <c r="AI265" s="57" t="str">
        <f t="shared" ref="AI265:AI328" si="123">IF(A264="","",IF($AK$8-AH265-AJ265&gt;AG265,AG265,$AK$8-AH265-AJ265))</f>
        <v/>
      </c>
      <c r="AJ265" s="57" t="str">
        <f t="shared" si="115"/>
        <v/>
      </c>
      <c r="AK265" s="57" t="str">
        <f t="shared" ref="AK265:AK328" si="124">IF(A264="","",+AH265+AI265+AJ265)</f>
        <v/>
      </c>
    </row>
    <row r="266" spans="1:37">
      <c r="A266" s="2" t="str">
        <f t="shared" si="116"/>
        <v/>
      </c>
      <c r="B266" s="10" t="str">
        <f t="shared" si="104"/>
        <v/>
      </c>
      <c r="C266" s="18" t="str">
        <f t="shared" si="105"/>
        <v/>
      </c>
      <c r="D266" s="4" t="str">
        <f t="shared" si="117"/>
        <v/>
      </c>
      <c r="E266" s="4" t="str">
        <f t="shared" si="106"/>
        <v/>
      </c>
      <c r="F266" s="4" t="str">
        <f t="shared" si="107"/>
        <v/>
      </c>
      <c r="G266" s="4" t="str">
        <f t="shared" si="108"/>
        <v/>
      </c>
      <c r="H266" s="4"/>
      <c r="I266" s="4"/>
      <c r="J266" s="4"/>
      <c r="K266" s="4"/>
      <c r="L266" s="4" t="str">
        <f>IF(A266="","",IF(ISERROR(VLOOKUP(A266,'pagos anticipados'!$A$2:$B$5,2,FALSE)),0,VLOOKUP(A266,'pagos anticipados'!$A$2:B264,2,FALSE)))</f>
        <v/>
      </c>
      <c r="M266" s="4" t="str">
        <f t="shared" si="101"/>
        <v/>
      </c>
      <c r="N266" s="1">
        <f t="shared" si="102"/>
        <v>0</v>
      </c>
      <c r="Q266" s="44" t="str">
        <f t="shared" si="109"/>
        <v/>
      </c>
      <c r="R266" s="44" t="str">
        <f t="shared" si="118"/>
        <v/>
      </c>
      <c r="S266" s="44" t="str">
        <f t="shared" si="110"/>
        <v/>
      </c>
      <c r="U266" s="42" t="str">
        <f t="shared" si="119"/>
        <v/>
      </c>
      <c r="V266" s="41" t="str">
        <f t="shared" si="120"/>
        <v/>
      </c>
      <c r="W266" s="41" t="str">
        <f t="shared" si="100"/>
        <v/>
      </c>
      <c r="Y266" s="35" t="str">
        <f t="shared" si="111"/>
        <v/>
      </c>
      <c r="Z266" s="34" t="str">
        <f t="shared" si="121"/>
        <v/>
      </c>
      <c r="AA266" s="34" t="str">
        <f t="shared" si="103"/>
        <v/>
      </c>
      <c r="AC266" s="36" t="str">
        <f t="shared" si="112"/>
        <v/>
      </c>
      <c r="AE266" s="37">
        <f t="shared" si="113"/>
        <v>0</v>
      </c>
      <c r="AG266" s="56" t="str">
        <f t="shared" si="122"/>
        <v/>
      </c>
      <c r="AH266" s="57" t="str">
        <f t="shared" si="114"/>
        <v/>
      </c>
      <c r="AI266" s="57" t="str">
        <f t="shared" si="123"/>
        <v/>
      </c>
      <c r="AJ266" s="57" t="str">
        <f t="shared" si="115"/>
        <v/>
      </c>
      <c r="AK266" s="57" t="str">
        <f t="shared" si="124"/>
        <v/>
      </c>
    </row>
    <row r="267" spans="1:37">
      <c r="A267" s="2" t="str">
        <f t="shared" si="116"/>
        <v/>
      </c>
      <c r="B267" s="10" t="str">
        <f t="shared" si="104"/>
        <v/>
      </c>
      <c r="C267" s="18" t="str">
        <f t="shared" si="105"/>
        <v/>
      </c>
      <c r="D267" s="4" t="str">
        <f t="shared" si="117"/>
        <v/>
      </c>
      <c r="E267" s="4" t="str">
        <f t="shared" si="106"/>
        <v/>
      </c>
      <c r="F267" s="4" t="str">
        <f t="shared" si="107"/>
        <v/>
      </c>
      <c r="G267" s="4" t="str">
        <f t="shared" si="108"/>
        <v/>
      </c>
      <c r="H267" s="4"/>
      <c r="I267" s="4"/>
      <c r="J267" s="4"/>
      <c r="K267" s="4"/>
      <c r="L267" s="4" t="str">
        <f>IF(A267="","",IF(ISERROR(VLOOKUP(A267,'pagos anticipados'!$A$2:$B$5,2,FALSE)),0,VLOOKUP(A267,'pagos anticipados'!$A$2:B265,2,FALSE)))</f>
        <v/>
      </c>
      <c r="M267" s="4" t="str">
        <f t="shared" si="101"/>
        <v/>
      </c>
      <c r="N267" s="1">
        <f t="shared" si="102"/>
        <v>0</v>
      </c>
      <c r="Q267" s="44" t="str">
        <f t="shared" si="109"/>
        <v/>
      </c>
      <c r="R267" s="44" t="str">
        <f t="shared" si="118"/>
        <v/>
      </c>
      <c r="S267" s="44" t="str">
        <f t="shared" si="110"/>
        <v/>
      </c>
      <c r="U267" s="42" t="str">
        <f t="shared" si="119"/>
        <v/>
      </c>
      <c r="V267" s="41" t="str">
        <f t="shared" si="120"/>
        <v/>
      </c>
      <c r="W267" s="41" t="str">
        <f t="shared" si="100"/>
        <v/>
      </c>
      <c r="Y267" s="35" t="str">
        <f t="shared" si="111"/>
        <v/>
      </c>
      <c r="Z267" s="34" t="str">
        <f t="shared" si="121"/>
        <v/>
      </c>
      <c r="AA267" s="34" t="str">
        <f t="shared" si="103"/>
        <v/>
      </c>
      <c r="AC267" s="36" t="str">
        <f t="shared" si="112"/>
        <v/>
      </c>
      <c r="AE267" s="37">
        <f t="shared" si="113"/>
        <v>0</v>
      </c>
      <c r="AG267" s="56" t="str">
        <f t="shared" si="122"/>
        <v/>
      </c>
      <c r="AH267" s="57" t="str">
        <f t="shared" si="114"/>
        <v/>
      </c>
      <c r="AI267" s="57" t="str">
        <f t="shared" si="123"/>
        <v/>
      </c>
      <c r="AJ267" s="57" t="str">
        <f t="shared" si="115"/>
        <v/>
      </c>
      <c r="AK267" s="57" t="str">
        <f t="shared" si="124"/>
        <v/>
      </c>
    </row>
    <row r="268" spans="1:37">
      <c r="A268" s="2" t="str">
        <f t="shared" si="116"/>
        <v/>
      </c>
      <c r="B268" s="10" t="str">
        <f t="shared" si="104"/>
        <v/>
      </c>
      <c r="C268" s="18" t="str">
        <f t="shared" si="105"/>
        <v/>
      </c>
      <c r="D268" s="4" t="str">
        <f t="shared" si="117"/>
        <v/>
      </c>
      <c r="E268" s="4" t="str">
        <f t="shared" si="106"/>
        <v/>
      </c>
      <c r="F268" s="4" t="str">
        <f t="shared" si="107"/>
        <v/>
      </c>
      <c r="G268" s="4" t="str">
        <f t="shared" si="108"/>
        <v/>
      </c>
      <c r="H268" s="4"/>
      <c r="I268" s="4"/>
      <c r="J268" s="4"/>
      <c r="K268" s="4"/>
      <c r="L268" s="4" t="str">
        <f>IF(A268="","",IF(ISERROR(VLOOKUP(A268,'pagos anticipados'!$A$2:$B$5,2,FALSE)),0,VLOOKUP(A268,'pagos anticipados'!$A$2:B266,2,FALSE)))</f>
        <v/>
      </c>
      <c r="M268" s="4" t="str">
        <f t="shared" si="101"/>
        <v/>
      </c>
      <c r="N268" s="1">
        <f t="shared" si="102"/>
        <v>0</v>
      </c>
      <c r="Q268" s="44" t="str">
        <f t="shared" si="109"/>
        <v/>
      </c>
      <c r="R268" s="44" t="str">
        <f t="shared" si="118"/>
        <v/>
      </c>
      <c r="S268" s="44" t="str">
        <f t="shared" si="110"/>
        <v/>
      </c>
      <c r="U268" s="42" t="str">
        <f t="shared" si="119"/>
        <v/>
      </c>
      <c r="V268" s="41" t="str">
        <f t="shared" si="120"/>
        <v/>
      </c>
      <c r="W268" s="41" t="str">
        <f t="shared" si="100"/>
        <v/>
      </c>
      <c r="Y268" s="35" t="str">
        <f t="shared" si="111"/>
        <v/>
      </c>
      <c r="Z268" s="34" t="str">
        <f t="shared" si="121"/>
        <v/>
      </c>
      <c r="AA268" s="34" t="str">
        <f t="shared" si="103"/>
        <v/>
      </c>
      <c r="AC268" s="36" t="str">
        <f t="shared" si="112"/>
        <v/>
      </c>
      <c r="AE268" s="37">
        <f t="shared" si="113"/>
        <v>0</v>
      </c>
      <c r="AG268" s="56" t="str">
        <f t="shared" si="122"/>
        <v/>
      </c>
      <c r="AH268" s="57" t="str">
        <f t="shared" si="114"/>
        <v/>
      </c>
      <c r="AI268" s="57" t="str">
        <f t="shared" si="123"/>
        <v/>
      </c>
      <c r="AJ268" s="57" t="str">
        <f t="shared" si="115"/>
        <v/>
      </c>
      <c r="AK268" s="57" t="str">
        <f t="shared" si="124"/>
        <v/>
      </c>
    </row>
    <row r="269" spans="1:37">
      <c r="A269" s="2" t="str">
        <f t="shared" si="116"/>
        <v/>
      </c>
      <c r="B269" s="10" t="str">
        <f t="shared" si="104"/>
        <v/>
      </c>
      <c r="C269" s="18" t="str">
        <f t="shared" si="105"/>
        <v/>
      </c>
      <c r="D269" s="4" t="str">
        <f t="shared" si="117"/>
        <v/>
      </c>
      <c r="E269" s="4" t="str">
        <f t="shared" si="106"/>
        <v/>
      </c>
      <c r="F269" s="4" t="str">
        <f t="shared" si="107"/>
        <v/>
      </c>
      <c r="G269" s="4" t="str">
        <f t="shared" si="108"/>
        <v/>
      </c>
      <c r="H269" s="4"/>
      <c r="I269" s="4"/>
      <c r="J269" s="4"/>
      <c r="K269" s="4"/>
      <c r="L269" s="4" t="str">
        <f>IF(A269="","",IF(ISERROR(VLOOKUP(A269,'pagos anticipados'!$A$2:$B$5,2,FALSE)),0,VLOOKUP(A269,'pagos anticipados'!$A$2:B267,2,FALSE)))</f>
        <v/>
      </c>
      <c r="M269" s="4" t="str">
        <f t="shared" si="101"/>
        <v/>
      </c>
      <c r="N269" s="1">
        <f t="shared" si="102"/>
        <v>0</v>
      </c>
      <c r="Q269" s="44" t="str">
        <f t="shared" si="109"/>
        <v/>
      </c>
      <c r="R269" s="44" t="str">
        <f t="shared" si="118"/>
        <v/>
      </c>
      <c r="S269" s="44" t="str">
        <f t="shared" si="110"/>
        <v/>
      </c>
      <c r="U269" s="42" t="str">
        <f t="shared" si="119"/>
        <v/>
      </c>
      <c r="V269" s="41" t="str">
        <f t="shared" si="120"/>
        <v/>
      </c>
      <c r="W269" s="41" t="str">
        <f t="shared" si="100"/>
        <v/>
      </c>
      <c r="Y269" s="35" t="str">
        <f t="shared" si="111"/>
        <v/>
      </c>
      <c r="Z269" s="34" t="str">
        <f t="shared" si="121"/>
        <v/>
      </c>
      <c r="AA269" s="34" t="str">
        <f t="shared" si="103"/>
        <v/>
      </c>
      <c r="AC269" s="36" t="str">
        <f t="shared" si="112"/>
        <v/>
      </c>
      <c r="AE269" s="37">
        <f t="shared" si="113"/>
        <v>0</v>
      </c>
      <c r="AG269" s="56" t="str">
        <f t="shared" si="122"/>
        <v/>
      </c>
      <c r="AH269" s="57" t="str">
        <f t="shared" si="114"/>
        <v/>
      </c>
      <c r="AI269" s="57" t="str">
        <f t="shared" si="123"/>
        <v/>
      </c>
      <c r="AJ269" s="57" t="str">
        <f t="shared" si="115"/>
        <v/>
      </c>
      <c r="AK269" s="57" t="str">
        <f t="shared" si="124"/>
        <v/>
      </c>
    </row>
    <row r="270" spans="1:37">
      <c r="A270" s="2" t="str">
        <f t="shared" si="116"/>
        <v/>
      </c>
      <c r="B270" s="10" t="str">
        <f t="shared" si="104"/>
        <v/>
      </c>
      <c r="C270" s="18" t="str">
        <f t="shared" si="105"/>
        <v/>
      </c>
      <c r="D270" s="4" t="str">
        <f t="shared" si="117"/>
        <v/>
      </c>
      <c r="E270" s="4" t="str">
        <f t="shared" si="106"/>
        <v/>
      </c>
      <c r="F270" s="4" t="str">
        <f t="shared" si="107"/>
        <v/>
      </c>
      <c r="G270" s="4" t="str">
        <f t="shared" si="108"/>
        <v/>
      </c>
      <c r="H270" s="4"/>
      <c r="I270" s="4"/>
      <c r="J270" s="4"/>
      <c r="K270" s="4"/>
      <c r="L270" s="4" t="str">
        <f>IF(A270="","",IF(ISERROR(VLOOKUP(A270,'pagos anticipados'!$A$2:$B$5,2,FALSE)),0,VLOOKUP(A270,'pagos anticipados'!$A$2:B268,2,FALSE)))</f>
        <v/>
      </c>
      <c r="M270" s="4" t="str">
        <f t="shared" si="101"/>
        <v/>
      </c>
      <c r="N270" s="1">
        <f t="shared" si="102"/>
        <v>0</v>
      </c>
      <c r="Q270" s="44" t="str">
        <f t="shared" si="109"/>
        <v/>
      </c>
      <c r="R270" s="44" t="str">
        <f t="shared" si="118"/>
        <v/>
      </c>
      <c r="S270" s="44" t="str">
        <f t="shared" si="110"/>
        <v/>
      </c>
      <c r="U270" s="42" t="str">
        <f t="shared" si="119"/>
        <v/>
      </c>
      <c r="V270" s="41" t="str">
        <f t="shared" si="120"/>
        <v/>
      </c>
      <c r="W270" s="41" t="str">
        <f t="shared" si="100"/>
        <v/>
      </c>
      <c r="Y270" s="35" t="str">
        <f t="shared" si="111"/>
        <v/>
      </c>
      <c r="Z270" s="34" t="str">
        <f t="shared" si="121"/>
        <v/>
      </c>
      <c r="AA270" s="34" t="str">
        <f t="shared" si="103"/>
        <v/>
      </c>
      <c r="AC270" s="36" t="str">
        <f t="shared" si="112"/>
        <v/>
      </c>
      <c r="AE270" s="37">
        <f t="shared" si="113"/>
        <v>0</v>
      </c>
      <c r="AG270" s="56" t="str">
        <f t="shared" si="122"/>
        <v/>
      </c>
      <c r="AH270" s="57" t="str">
        <f t="shared" si="114"/>
        <v/>
      </c>
      <c r="AI270" s="57" t="str">
        <f t="shared" si="123"/>
        <v/>
      </c>
      <c r="AJ270" s="57" t="str">
        <f t="shared" si="115"/>
        <v/>
      </c>
      <c r="AK270" s="57" t="str">
        <f t="shared" si="124"/>
        <v/>
      </c>
    </row>
    <row r="271" spans="1:37">
      <c r="A271" s="2" t="str">
        <f t="shared" si="116"/>
        <v/>
      </c>
      <c r="B271" s="10" t="str">
        <f t="shared" si="104"/>
        <v/>
      </c>
      <c r="C271" s="18" t="str">
        <f t="shared" si="105"/>
        <v/>
      </c>
      <c r="D271" s="4" t="str">
        <f t="shared" si="117"/>
        <v/>
      </c>
      <c r="E271" s="4" t="str">
        <f t="shared" si="106"/>
        <v/>
      </c>
      <c r="F271" s="4" t="str">
        <f t="shared" si="107"/>
        <v/>
      </c>
      <c r="G271" s="4" t="str">
        <f t="shared" si="108"/>
        <v/>
      </c>
      <c r="H271" s="4"/>
      <c r="I271" s="4"/>
      <c r="J271" s="4"/>
      <c r="K271" s="4"/>
      <c r="L271" s="4" t="str">
        <f>IF(A271="","",IF(ISERROR(VLOOKUP(A271,'pagos anticipados'!$A$2:$B$5,2,FALSE)),0,VLOOKUP(A271,'pagos anticipados'!$A$2:B269,2,FALSE)))</f>
        <v/>
      </c>
      <c r="M271" s="4" t="str">
        <f t="shared" si="101"/>
        <v/>
      </c>
      <c r="N271" s="1">
        <f t="shared" si="102"/>
        <v>0</v>
      </c>
      <c r="Q271" s="44" t="str">
        <f t="shared" si="109"/>
        <v/>
      </c>
      <c r="R271" s="44" t="str">
        <f t="shared" si="118"/>
        <v/>
      </c>
      <c r="S271" s="44" t="str">
        <f t="shared" si="110"/>
        <v/>
      </c>
      <c r="U271" s="42" t="str">
        <f t="shared" si="119"/>
        <v/>
      </c>
      <c r="V271" s="41" t="str">
        <f t="shared" si="120"/>
        <v/>
      </c>
      <c r="W271" s="41" t="str">
        <f t="shared" si="100"/>
        <v/>
      </c>
      <c r="Y271" s="35" t="str">
        <f t="shared" si="111"/>
        <v/>
      </c>
      <c r="Z271" s="34" t="str">
        <f t="shared" si="121"/>
        <v/>
      </c>
      <c r="AA271" s="34" t="str">
        <f t="shared" si="103"/>
        <v/>
      </c>
      <c r="AC271" s="36" t="str">
        <f t="shared" si="112"/>
        <v/>
      </c>
      <c r="AE271" s="37">
        <f t="shared" si="113"/>
        <v>0</v>
      </c>
      <c r="AG271" s="56" t="str">
        <f t="shared" si="122"/>
        <v/>
      </c>
      <c r="AH271" s="57" t="str">
        <f t="shared" si="114"/>
        <v/>
      </c>
      <c r="AI271" s="57" t="str">
        <f t="shared" si="123"/>
        <v/>
      </c>
      <c r="AJ271" s="57" t="str">
        <f t="shared" si="115"/>
        <v/>
      </c>
      <c r="AK271" s="57" t="str">
        <f t="shared" si="124"/>
        <v/>
      </c>
    </row>
    <row r="272" spans="1:37">
      <c r="A272" s="2" t="str">
        <f t="shared" si="116"/>
        <v/>
      </c>
      <c r="B272" s="10" t="str">
        <f t="shared" si="104"/>
        <v/>
      </c>
      <c r="C272" s="18" t="str">
        <f t="shared" si="105"/>
        <v/>
      </c>
      <c r="D272" s="4" t="str">
        <f t="shared" si="117"/>
        <v/>
      </c>
      <c r="E272" s="4" t="str">
        <f t="shared" si="106"/>
        <v/>
      </c>
      <c r="F272" s="4" t="str">
        <f t="shared" si="107"/>
        <v/>
      </c>
      <c r="G272" s="4" t="str">
        <f t="shared" si="108"/>
        <v/>
      </c>
      <c r="H272" s="4"/>
      <c r="I272" s="4"/>
      <c r="J272" s="4"/>
      <c r="K272" s="4"/>
      <c r="L272" s="4" t="str">
        <f>IF(A272="","",IF(ISERROR(VLOOKUP(A272,'pagos anticipados'!$A$2:$B$5,2,FALSE)),0,VLOOKUP(A272,'pagos anticipados'!$A$2:B270,2,FALSE)))</f>
        <v/>
      </c>
      <c r="M272" s="4" t="str">
        <f t="shared" si="101"/>
        <v/>
      </c>
      <c r="N272" s="1">
        <f t="shared" si="102"/>
        <v>0</v>
      </c>
      <c r="Q272" s="44" t="str">
        <f t="shared" si="109"/>
        <v/>
      </c>
      <c r="R272" s="44" t="str">
        <f t="shared" si="118"/>
        <v/>
      </c>
      <c r="S272" s="44" t="str">
        <f t="shared" si="110"/>
        <v/>
      </c>
      <c r="U272" s="42" t="str">
        <f t="shared" si="119"/>
        <v/>
      </c>
      <c r="V272" s="41" t="str">
        <f t="shared" si="120"/>
        <v/>
      </c>
      <c r="W272" s="41" t="str">
        <f t="shared" si="100"/>
        <v/>
      </c>
      <c r="Y272" s="35" t="str">
        <f t="shared" si="111"/>
        <v/>
      </c>
      <c r="Z272" s="34" t="str">
        <f t="shared" si="121"/>
        <v/>
      </c>
      <c r="AA272" s="34" t="str">
        <f t="shared" si="103"/>
        <v/>
      </c>
      <c r="AC272" s="36" t="str">
        <f t="shared" si="112"/>
        <v/>
      </c>
      <c r="AE272" s="37">
        <f t="shared" si="113"/>
        <v>0</v>
      </c>
      <c r="AG272" s="56" t="str">
        <f t="shared" si="122"/>
        <v/>
      </c>
      <c r="AH272" s="57" t="str">
        <f t="shared" si="114"/>
        <v/>
      </c>
      <c r="AI272" s="57" t="str">
        <f t="shared" si="123"/>
        <v/>
      </c>
      <c r="AJ272" s="57" t="str">
        <f t="shared" si="115"/>
        <v/>
      </c>
      <c r="AK272" s="57" t="str">
        <f t="shared" si="124"/>
        <v/>
      </c>
    </row>
    <row r="273" spans="1:37">
      <c r="A273" s="2" t="str">
        <f t="shared" si="116"/>
        <v/>
      </c>
      <c r="B273" s="10" t="str">
        <f t="shared" si="104"/>
        <v/>
      </c>
      <c r="C273" s="18" t="str">
        <f t="shared" si="105"/>
        <v/>
      </c>
      <c r="D273" s="4" t="str">
        <f t="shared" si="117"/>
        <v/>
      </c>
      <c r="E273" s="4" t="str">
        <f t="shared" si="106"/>
        <v/>
      </c>
      <c r="F273" s="4" t="str">
        <f t="shared" si="107"/>
        <v/>
      </c>
      <c r="G273" s="4" t="str">
        <f t="shared" si="108"/>
        <v/>
      </c>
      <c r="H273" s="4"/>
      <c r="I273" s="4"/>
      <c r="J273" s="4"/>
      <c r="K273" s="4"/>
      <c r="L273" s="4" t="str">
        <f>IF(A273="","",IF(ISERROR(VLOOKUP(A273,'pagos anticipados'!$A$2:$B$5,2,FALSE)),0,VLOOKUP(A273,'pagos anticipados'!$A$2:B271,2,FALSE)))</f>
        <v/>
      </c>
      <c r="M273" s="4" t="str">
        <f t="shared" si="101"/>
        <v/>
      </c>
      <c r="N273" s="1">
        <f t="shared" si="102"/>
        <v>0</v>
      </c>
      <c r="Q273" s="44" t="str">
        <f t="shared" si="109"/>
        <v/>
      </c>
      <c r="R273" s="44" t="str">
        <f t="shared" si="118"/>
        <v/>
      </c>
      <c r="S273" s="44" t="str">
        <f t="shared" si="110"/>
        <v/>
      </c>
      <c r="U273" s="42" t="str">
        <f t="shared" si="119"/>
        <v/>
      </c>
      <c r="V273" s="41" t="str">
        <f t="shared" si="120"/>
        <v/>
      </c>
      <c r="W273" s="41" t="str">
        <f t="shared" si="100"/>
        <v/>
      </c>
      <c r="Y273" s="35" t="str">
        <f t="shared" si="111"/>
        <v/>
      </c>
      <c r="Z273" s="34" t="str">
        <f t="shared" si="121"/>
        <v/>
      </c>
      <c r="AA273" s="34" t="str">
        <f t="shared" si="103"/>
        <v/>
      </c>
      <c r="AC273" s="36" t="str">
        <f t="shared" si="112"/>
        <v/>
      </c>
      <c r="AE273" s="37">
        <f t="shared" si="113"/>
        <v>0</v>
      </c>
      <c r="AG273" s="56" t="str">
        <f t="shared" si="122"/>
        <v/>
      </c>
      <c r="AH273" s="57" t="str">
        <f t="shared" si="114"/>
        <v/>
      </c>
      <c r="AI273" s="57" t="str">
        <f t="shared" si="123"/>
        <v/>
      </c>
      <c r="AJ273" s="57" t="str">
        <f t="shared" si="115"/>
        <v/>
      </c>
      <c r="AK273" s="57" t="str">
        <f t="shared" si="124"/>
        <v/>
      </c>
    </row>
    <row r="274" spans="1:37">
      <c r="A274" s="2" t="str">
        <f t="shared" si="116"/>
        <v/>
      </c>
      <c r="B274" s="10" t="str">
        <f t="shared" si="104"/>
        <v/>
      </c>
      <c r="C274" s="18" t="str">
        <f t="shared" si="105"/>
        <v/>
      </c>
      <c r="D274" s="4" t="str">
        <f t="shared" si="117"/>
        <v/>
      </c>
      <c r="E274" s="4" t="str">
        <f t="shared" si="106"/>
        <v/>
      </c>
      <c r="F274" s="4" t="str">
        <f t="shared" si="107"/>
        <v/>
      </c>
      <c r="G274" s="4" t="str">
        <f t="shared" si="108"/>
        <v/>
      </c>
      <c r="H274" s="4"/>
      <c r="I274" s="4"/>
      <c r="J274" s="4"/>
      <c r="K274" s="4"/>
      <c r="L274" s="4" t="str">
        <f>IF(A274="","",IF(ISERROR(VLOOKUP(A274,'pagos anticipados'!$A$2:$B$5,2,FALSE)),0,VLOOKUP(A274,'pagos anticipados'!$A$2:B272,2,FALSE)))</f>
        <v/>
      </c>
      <c r="M274" s="4" t="str">
        <f t="shared" si="101"/>
        <v/>
      </c>
      <c r="N274" s="1">
        <f t="shared" si="102"/>
        <v>0</v>
      </c>
      <c r="Q274" s="44" t="str">
        <f t="shared" si="109"/>
        <v/>
      </c>
      <c r="R274" s="44" t="str">
        <f t="shared" si="118"/>
        <v/>
      </c>
      <c r="S274" s="44" t="str">
        <f t="shared" si="110"/>
        <v/>
      </c>
      <c r="U274" s="42" t="str">
        <f t="shared" si="119"/>
        <v/>
      </c>
      <c r="V274" s="41" t="str">
        <f t="shared" si="120"/>
        <v/>
      </c>
      <c r="W274" s="41" t="str">
        <f t="shared" si="100"/>
        <v/>
      </c>
      <c r="Y274" s="35" t="str">
        <f t="shared" si="111"/>
        <v/>
      </c>
      <c r="Z274" s="34" t="str">
        <f t="shared" si="121"/>
        <v/>
      </c>
      <c r="AA274" s="34" t="str">
        <f t="shared" si="103"/>
        <v/>
      </c>
      <c r="AC274" s="36" t="str">
        <f t="shared" si="112"/>
        <v/>
      </c>
      <c r="AE274" s="37">
        <f t="shared" si="113"/>
        <v>0</v>
      </c>
      <c r="AG274" s="56" t="str">
        <f t="shared" si="122"/>
        <v/>
      </c>
      <c r="AH274" s="57" t="str">
        <f t="shared" si="114"/>
        <v/>
      </c>
      <c r="AI274" s="57" t="str">
        <f t="shared" si="123"/>
        <v/>
      </c>
      <c r="AJ274" s="57" t="str">
        <f t="shared" si="115"/>
        <v/>
      </c>
      <c r="AK274" s="57" t="str">
        <f t="shared" si="124"/>
        <v/>
      </c>
    </row>
    <row r="275" spans="1:37">
      <c r="A275" s="2" t="str">
        <f t="shared" si="116"/>
        <v/>
      </c>
      <c r="B275" s="10" t="str">
        <f t="shared" si="104"/>
        <v/>
      </c>
      <c r="C275" s="18" t="str">
        <f t="shared" si="105"/>
        <v/>
      </c>
      <c r="D275" s="4" t="str">
        <f t="shared" si="117"/>
        <v/>
      </c>
      <c r="E275" s="4" t="str">
        <f t="shared" si="106"/>
        <v/>
      </c>
      <c r="F275" s="4" t="str">
        <f t="shared" si="107"/>
        <v/>
      </c>
      <c r="G275" s="4" t="str">
        <f t="shared" si="108"/>
        <v/>
      </c>
      <c r="H275" s="4"/>
      <c r="I275" s="4"/>
      <c r="J275" s="4"/>
      <c r="K275" s="4"/>
      <c r="L275" s="4" t="str">
        <f>IF(A275="","",IF(ISERROR(VLOOKUP(A275,'pagos anticipados'!$A$2:$B$5,2,FALSE)),0,VLOOKUP(A275,'pagos anticipados'!$A$2:B273,2,FALSE)))</f>
        <v/>
      </c>
      <c r="M275" s="4" t="str">
        <f t="shared" si="101"/>
        <v/>
      </c>
      <c r="N275" s="1">
        <f t="shared" si="102"/>
        <v>0</v>
      </c>
      <c r="Q275" s="44" t="str">
        <f t="shared" si="109"/>
        <v/>
      </c>
      <c r="R275" s="44" t="str">
        <f t="shared" si="118"/>
        <v/>
      </c>
      <c r="S275" s="44" t="str">
        <f t="shared" si="110"/>
        <v/>
      </c>
      <c r="U275" s="42" t="str">
        <f t="shared" si="119"/>
        <v/>
      </c>
      <c r="V275" s="41" t="str">
        <f t="shared" si="120"/>
        <v/>
      </c>
      <c r="W275" s="41" t="str">
        <f t="shared" si="100"/>
        <v/>
      </c>
      <c r="Y275" s="35" t="str">
        <f t="shared" si="111"/>
        <v/>
      </c>
      <c r="Z275" s="34" t="str">
        <f t="shared" si="121"/>
        <v/>
      </c>
      <c r="AA275" s="34" t="str">
        <f t="shared" si="103"/>
        <v/>
      </c>
      <c r="AC275" s="36" t="str">
        <f t="shared" si="112"/>
        <v/>
      </c>
      <c r="AE275" s="37">
        <f t="shared" si="113"/>
        <v>0</v>
      </c>
      <c r="AG275" s="56" t="str">
        <f t="shared" si="122"/>
        <v/>
      </c>
      <c r="AH275" s="57" t="str">
        <f t="shared" si="114"/>
        <v/>
      </c>
      <c r="AI275" s="57" t="str">
        <f t="shared" si="123"/>
        <v/>
      </c>
      <c r="AJ275" s="57" t="str">
        <f t="shared" si="115"/>
        <v/>
      </c>
      <c r="AK275" s="57" t="str">
        <f t="shared" si="124"/>
        <v/>
      </c>
    </row>
    <row r="276" spans="1:37">
      <c r="A276" s="2" t="str">
        <f t="shared" si="116"/>
        <v/>
      </c>
      <c r="B276" s="10" t="str">
        <f t="shared" si="104"/>
        <v/>
      </c>
      <c r="C276" s="18" t="str">
        <f t="shared" si="105"/>
        <v/>
      </c>
      <c r="D276" s="4" t="str">
        <f t="shared" si="117"/>
        <v/>
      </c>
      <c r="E276" s="4" t="str">
        <f t="shared" si="106"/>
        <v/>
      </c>
      <c r="F276" s="4" t="str">
        <f t="shared" si="107"/>
        <v/>
      </c>
      <c r="G276" s="4" t="str">
        <f t="shared" si="108"/>
        <v/>
      </c>
      <c r="H276" s="4"/>
      <c r="I276" s="4"/>
      <c r="J276" s="4"/>
      <c r="K276" s="4"/>
      <c r="L276" s="4" t="str">
        <f>IF(A276="","",IF(ISERROR(VLOOKUP(A276,'pagos anticipados'!$A$2:$B$5,2,FALSE)),0,VLOOKUP(A276,'pagos anticipados'!$A$2:B274,2,FALSE)))</f>
        <v/>
      </c>
      <c r="M276" s="4" t="str">
        <f t="shared" si="101"/>
        <v/>
      </c>
      <c r="N276" s="1">
        <f t="shared" si="102"/>
        <v>0</v>
      </c>
      <c r="Q276" s="44" t="str">
        <f t="shared" si="109"/>
        <v/>
      </c>
      <c r="R276" s="44" t="str">
        <f t="shared" si="118"/>
        <v/>
      </c>
      <c r="S276" s="44" t="str">
        <f t="shared" si="110"/>
        <v/>
      </c>
      <c r="U276" s="42" t="str">
        <f t="shared" si="119"/>
        <v/>
      </c>
      <c r="V276" s="41" t="str">
        <f t="shared" si="120"/>
        <v/>
      </c>
      <c r="W276" s="41" t="str">
        <f t="shared" si="100"/>
        <v/>
      </c>
      <c r="Y276" s="35" t="str">
        <f t="shared" si="111"/>
        <v/>
      </c>
      <c r="Z276" s="34" t="str">
        <f t="shared" si="121"/>
        <v/>
      </c>
      <c r="AA276" s="34" t="str">
        <f t="shared" si="103"/>
        <v/>
      </c>
      <c r="AC276" s="36" t="str">
        <f t="shared" si="112"/>
        <v/>
      </c>
      <c r="AE276" s="37">
        <f t="shared" si="113"/>
        <v>0</v>
      </c>
      <c r="AG276" s="56" t="str">
        <f t="shared" si="122"/>
        <v/>
      </c>
      <c r="AH276" s="57" t="str">
        <f t="shared" si="114"/>
        <v/>
      </c>
      <c r="AI276" s="57" t="str">
        <f t="shared" si="123"/>
        <v/>
      </c>
      <c r="AJ276" s="57" t="str">
        <f t="shared" si="115"/>
        <v/>
      </c>
      <c r="AK276" s="57" t="str">
        <f t="shared" si="124"/>
        <v/>
      </c>
    </row>
    <row r="277" spans="1:37">
      <c r="A277" s="2" t="str">
        <f t="shared" si="116"/>
        <v/>
      </c>
      <c r="B277" s="10" t="str">
        <f t="shared" si="104"/>
        <v/>
      </c>
      <c r="C277" s="18" t="str">
        <f t="shared" si="105"/>
        <v/>
      </c>
      <c r="D277" s="4" t="str">
        <f t="shared" si="117"/>
        <v/>
      </c>
      <c r="E277" s="4" t="str">
        <f t="shared" si="106"/>
        <v/>
      </c>
      <c r="F277" s="4" t="str">
        <f t="shared" si="107"/>
        <v/>
      </c>
      <c r="G277" s="4" t="str">
        <f t="shared" si="108"/>
        <v/>
      </c>
      <c r="H277" s="4"/>
      <c r="I277" s="4"/>
      <c r="J277" s="4"/>
      <c r="K277" s="4"/>
      <c r="L277" s="4" t="str">
        <f>IF(A277="","",IF(ISERROR(VLOOKUP(A277,'pagos anticipados'!$A$2:$B$5,2,FALSE)),0,VLOOKUP(A277,'pagos anticipados'!$A$2:B275,2,FALSE)))</f>
        <v/>
      </c>
      <c r="M277" s="4" t="str">
        <f t="shared" si="101"/>
        <v/>
      </c>
      <c r="N277" s="1">
        <f t="shared" si="102"/>
        <v>0</v>
      </c>
      <c r="Q277" s="44" t="str">
        <f t="shared" si="109"/>
        <v/>
      </c>
      <c r="R277" s="44" t="str">
        <f t="shared" si="118"/>
        <v/>
      </c>
      <c r="S277" s="44" t="str">
        <f t="shared" si="110"/>
        <v/>
      </c>
      <c r="U277" s="42" t="str">
        <f t="shared" si="119"/>
        <v/>
      </c>
      <c r="V277" s="41" t="str">
        <f t="shared" si="120"/>
        <v/>
      </c>
      <c r="W277" s="41" t="str">
        <f t="shared" si="100"/>
        <v/>
      </c>
      <c r="Y277" s="35" t="str">
        <f t="shared" si="111"/>
        <v/>
      </c>
      <c r="Z277" s="34" t="str">
        <f t="shared" si="121"/>
        <v/>
      </c>
      <c r="AA277" s="34" t="str">
        <f t="shared" si="103"/>
        <v/>
      </c>
      <c r="AC277" s="36" t="str">
        <f t="shared" si="112"/>
        <v/>
      </c>
      <c r="AE277" s="37">
        <f t="shared" si="113"/>
        <v>0</v>
      </c>
      <c r="AG277" s="56" t="str">
        <f t="shared" si="122"/>
        <v/>
      </c>
      <c r="AH277" s="57" t="str">
        <f t="shared" si="114"/>
        <v/>
      </c>
      <c r="AI277" s="57" t="str">
        <f t="shared" si="123"/>
        <v/>
      </c>
      <c r="AJ277" s="57" t="str">
        <f t="shared" si="115"/>
        <v/>
      </c>
      <c r="AK277" s="57" t="str">
        <f t="shared" si="124"/>
        <v/>
      </c>
    </row>
    <row r="278" spans="1:37">
      <c r="A278" s="2" t="str">
        <f t="shared" si="116"/>
        <v/>
      </c>
      <c r="B278" s="10" t="str">
        <f t="shared" si="104"/>
        <v/>
      </c>
      <c r="C278" s="18" t="str">
        <f t="shared" si="105"/>
        <v/>
      </c>
      <c r="D278" s="4" t="str">
        <f t="shared" si="117"/>
        <v/>
      </c>
      <c r="E278" s="4" t="str">
        <f t="shared" si="106"/>
        <v/>
      </c>
      <c r="F278" s="4" t="str">
        <f t="shared" si="107"/>
        <v/>
      </c>
      <c r="G278" s="4" t="str">
        <f t="shared" si="108"/>
        <v/>
      </c>
      <c r="H278" s="4"/>
      <c r="I278" s="4"/>
      <c r="J278" s="4"/>
      <c r="K278" s="4"/>
      <c r="L278" s="4" t="str">
        <f>IF(A278="","",IF(ISERROR(VLOOKUP(A278,'pagos anticipados'!$A$2:$B$5,2,FALSE)),0,VLOOKUP(A278,'pagos anticipados'!$A$2:B276,2,FALSE)))</f>
        <v/>
      </c>
      <c r="M278" s="4" t="str">
        <f t="shared" si="101"/>
        <v/>
      </c>
      <c r="N278" s="1">
        <f t="shared" si="102"/>
        <v>0</v>
      </c>
      <c r="Q278" s="44" t="str">
        <f t="shared" si="109"/>
        <v/>
      </c>
      <c r="R278" s="44" t="str">
        <f t="shared" si="118"/>
        <v/>
      </c>
      <c r="S278" s="44" t="str">
        <f t="shared" si="110"/>
        <v/>
      </c>
      <c r="U278" s="42" t="str">
        <f t="shared" si="119"/>
        <v/>
      </c>
      <c r="V278" s="41" t="str">
        <f t="shared" si="120"/>
        <v/>
      </c>
      <c r="W278" s="41" t="str">
        <f t="shared" si="100"/>
        <v/>
      </c>
      <c r="Y278" s="35" t="str">
        <f t="shared" si="111"/>
        <v/>
      </c>
      <c r="Z278" s="34" t="str">
        <f t="shared" si="121"/>
        <v/>
      </c>
      <c r="AA278" s="34" t="str">
        <f t="shared" si="103"/>
        <v/>
      </c>
      <c r="AC278" s="36" t="str">
        <f t="shared" si="112"/>
        <v/>
      </c>
      <c r="AE278" s="37">
        <f t="shared" si="113"/>
        <v>0</v>
      </c>
      <c r="AG278" s="56" t="str">
        <f t="shared" si="122"/>
        <v/>
      </c>
      <c r="AH278" s="57" t="str">
        <f t="shared" si="114"/>
        <v/>
      </c>
      <c r="AI278" s="57" t="str">
        <f t="shared" si="123"/>
        <v/>
      </c>
      <c r="AJ278" s="57" t="str">
        <f t="shared" si="115"/>
        <v/>
      </c>
      <c r="AK278" s="57" t="str">
        <f t="shared" si="124"/>
        <v/>
      </c>
    </row>
    <row r="279" spans="1:37">
      <c r="A279" s="2" t="str">
        <f t="shared" si="116"/>
        <v/>
      </c>
      <c r="B279" s="10" t="str">
        <f t="shared" si="104"/>
        <v/>
      </c>
      <c r="C279" s="18" t="str">
        <f t="shared" si="105"/>
        <v/>
      </c>
      <c r="D279" s="4" t="str">
        <f t="shared" si="117"/>
        <v/>
      </c>
      <c r="E279" s="4" t="str">
        <f t="shared" si="106"/>
        <v/>
      </c>
      <c r="F279" s="4" t="str">
        <f t="shared" si="107"/>
        <v/>
      </c>
      <c r="G279" s="4" t="str">
        <f t="shared" si="108"/>
        <v/>
      </c>
      <c r="H279" s="4"/>
      <c r="I279" s="4"/>
      <c r="J279" s="4"/>
      <c r="K279" s="4"/>
      <c r="L279" s="4" t="str">
        <f>IF(A279="","",IF(ISERROR(VLOOKUP(A279,'pagos anticipados'!$A$2:$B$5,2,FALSE)),0,VLOOKUP(A279,'pagos anticipados'!$A$2:B277,2,FALSE)))</f>
        <v/>
      </c>
      <c r="M279" s="4" t="str">
        <f t="shared" si="101"/>
        <v/>
      </c>
      <c r="N279" s="1">
        <f t="shared" si="102"/>
        <v>0</v>
      </c>
      <c r="Q279" s="44" t="str">
        <f t="shared" si="109"/>
        <v/>
      </c>
      <c r="R279" s="44" t="str">
        <f t="shared" si="118"/>
        <v/>
      </c>
      <c r="S279" s="44" t="str">
        <f t="shared" si="110"/>
        <v/>
      </c>
      <c r="U279" s="42" t="str">
        <f t="shared" si="119"/>
        <v/>
      </c>
      <c r="V279" s="41" t="str">
        <f t="shared" si="120"/>
        <v/>
      </c>
      <c r="W279" s="41" t="str">
        <f t="shared" si="100"/>
        <v/>
      </c>
      <c r="Y279" s="35" t="str">
        <f t="shared" si="111"/>
        <v/>
      </c>
      <c r="Z279" s="34" t="str">
        <f t="shared" si="121"/>
        <v/>
      </c>
      <c r="AA279" s="34" t="str">
        <f t="shared" si="103"/>
        <v/>
      </c>
      <c r="AC279" s="36" t="str">
        <f t="shared" si="112"/>
        <v/>
      </c>
      <c r="AE279" s="37">
        <f t="shared" si="113"/>
        <v>0</v>
      </c>
      <c r="AG279" s="56" t="str">
        <f t="shared" si="122"/>
        <v/>
      </c>
      <c r="AH279" s="57" t="str">
        <f t="shared" si="114"/>
        <v/>
      </c>
      <c r="AI279" s="57" t="str">
        <f t="shared" si="123"/>
        <v/>
      </c>
      <c r="AJ279" s="57" t="str">
        <f t="shared" si="115"/>
        <v/>
      </c>
      <c r="AK279" s="57" t="str">
        <f t="shared" si="124"/>
        <v/>
      </c>
    </row>
    <row r="280" spans="1:37">
      <c r="A280" s="2" t="str">
        <f t="shared" si="116"/>
        <v/>
      </c>
      <c r="B280" s="10" t="str">
        <f t="shared" si="104"/>
        <v/>
      </c>
      <c r="C280" s="18" t="str">
        <f t="shared" si="105"/>
        <v/>
      </c>
      <c r="D280" s="4" t="str">
        <f t="shared" si="117"/>
        <v/>
      </c>
      <c r="E280" s="4" t="str">
        <f t="shared" si="106"/>
        <v/>
      </c>
      <c r="F280" s="4" t="str">
        <f t="shared" si="107"/>
        <v/>
      </c>
      <c r="G280" s="4" t="str">
        <f t="shared" si="108"/>
        <v/>
      </c>
      <c r="H280" s="4"/>
      <c r="I280" s="4"/>
      <c r="J280" s="4"/>
      <c r="K280" s="4"/>
      <c r="L280" s="4" t="str">
        <f>IF(A280="","",IF(ISERROR(VLOOKUP(A280,'pagos anticipados'!$A$2:$B$5,2,FALSE)),0,VLOOKUP(A280,'pagos anticipados'!$A$2:B278,2,FALSE)))</f>
        <v/>
      </c>
      <c r="M280" s="4" t="str">
        <f t="shared" si="101"/>
        <v/>
      </c>
      <c r="N280" s="1">
        <f t="shared" si="102"/>
        <v>0</v>
      </c>
      <c r="Q280" s="44" t="str">
        <f t="shared" si="109"/>
        <v/>
      </c>
      <c r="R280" s="44" t="str">
        <f t="shared" si="118"/>
        <v/>
      </c>
      <c r="S280" s="44" t="str">
        <f t="shared" si="110"/>
        <v/>
      </c>
      <c r="U280" s="42" t="str">
        <f t="shared" si="119"/>
        <v/>
      </c>
      <c r="V280" s="41" t="str">
        <f t="shared" si="120"/>
        <v/>
      </c>
      <c r="W280" s="41" t="str">
        <f t="shared" si="100"/>
        <v/>
      </c>
      <c r="Y280" s="35" t="str">
        <f t="shared" si="111"/>
        <v/>
      </c>
      <c r="Z280" s="34" t="str">
        <f t="shared" si="121"/>
        <v/>
      </c>
      <c r="AA280" s="34" t="str">
        <f t="shared" si="103"/>
        <v/>
      </c>
      <c r="AC280" s="36" t="str">
        <f t="shared" si="112"/>
        <v/>
      </c>
      <c r="AE280" s="37">
        <f t="shared" si="113"/>
        <v>0</v>
      </c>
      <c r="AG280" s="56" t="str">
        <f t="shared" si="122"/>
        <v/>
      </c>
      <c r="AH280" s="57" t="str">
        <f t="shared" si="114"/>
        <v/>
      </c>
      <c r="AI280" s="57" t="str">
        <f t="shared" si="123"/>
        <v/>
      </c>
      <c r="AJ280" s="57" t="str">
        <f t="shared" si="115"/>
        <v/>
      </c>
      <c r="AK280" s="57" t="str">
        <f t="shared" si="124"/>
        <v/>
      </c>
    </row>
    <row r="281" spans="1:37">
      <c r="A281" s="2" t="str">
        <f t="shared" si="116"/>
        <v/>
      </c>
      <c r="B281" s="10" t="str">
        <f t="shared" si="104"/>
        <v/>
      </c>
      <c r="C281" s="18" t="str">
        <f t="shared" si="105"/>
        <v/>
      </c>
      <c r="D281" s="4" t="str">
        <f t="shared" si="117"/>
        <v/>
      </c>
      <c r="E281" s="4" t="str">
        <f t="shared" si="106"/>
        <v/>
      </c>
      <c r="F281" s="4" t="str">
        <f t="shared" si="107"/>
        <v/>
      </c>
      <c r="G281" s="4" t="str">
        <f t="shared" si="108"/>
        <v/>
      </c>
      <c r="H281" s="4"/>
      <c r="I281" s="4"/>
      <c r="J281" s="4"/>
      <c r="K281" s="4"/>
      <c r="L281" s="4" t="str">
        <f>IF(A281="","",IF(ISERROR(VLOOKUP(A281,'pagos anticipados'!$A$2:$B$5,2,FALSE)),0,VLOOKUP(A281,'pagos anticipados'!$A$2:B279,2,FALSE)))</f>
        <v/>
      </c>
      <c r="M281" s="4" t="str">
        <f t="shared" si="101"/>
        <v/>
      </c>
      <c r="N281" s="1">
        <f t="shared" si="102"/>
        <v>0</v>
      </c>
      <c r="Q281" s="44" t="str">
        <f t="shared" si="109"/>
        <v/>
      </c>
      <c r="R281" s="44" t="str">
        <f t="shared" si="118"/>
        <v/>
      </c>
      <c r="S281" s="44" t="str">
        <f t="shared" si="110"/>
        <v/>
      </c>
      <c r="U281" s="42" t="str">
        <f t="shared" si="119"/>
        <v/>
      </c>
      <c r="V281" s="41" t="str">
        <f t="shared" si="120"/>
        <v/>
      </c>
      <c r="W281" s="41" t="str">
        <f t="shared" si="100"/>
        <v/>
      </c>
      <c r="Y281" s="35" t="str">
        <f t="shared" si="111"/>
        <v/>
      </c>
      <c r="Z281" s="34" t="str">
        <f t="shared" si="121"/>
        <v/>
      </c>
      <c r="AA281" s="34" t="str">
        <f t="shared" si="103"/>
        <v/>
      </c>
      <c r="AC281" s="36" t="str">
        <f t="shared" si="112"/>
        <v/>
      </c>
      <c r="AE281" s="37">
        <f t="shared" si="113"/>
        <v>0</v>
      </c>
      <c r="AG281" s="56" t="str">
        <f t="shared" si="122"/>
        <v/>
      </c>
      <c r="AH281" s="57" t="str">
        <f t="shared" si="114"/>
        <v/>
      </c>
      <c r="AI281" s="57" t="str">
        <f t="shared" si="123"/>
        <v/>
      </c>
      <c r="AJ281" s="57" t="str">
        <f t="shared" si="115"/>
        <v/>
      </c>
      <c r="AK281" s="57" t="str">
        <f t="shared" si="124"/>
        <v/>
      </c>
    </row>
    <row r="282" spans="1:37">
      <c r="A282" s="2" t="str">
        <f t="shared" si="116"/>
        <v/>
      </c>
      <c r="B282" s="10" t="str">
        <f t="shared" si="104"/>
        <v/>
      </c>
      <c r="C282" s="18" t="str">
        <f t="shared" si="105"/>
        <v/>
      </c>
      <c r="D282" s="4" t="str">
        <f t="shared" si="117"/>
        <v/>
      </c>
      <c r="E282" s="4" t="str">
        <f t="shared" si="106"/>
        <v/>
      </c>
      <c r="F282" s="4" t="str">
        <f t="shared" si="107"/>
        <v/>
      </c>
      <c r="G282" s="4" t="str">
        <f t="shared" si="108"/>
        <v/>
      </c>
      <c r="H282" s="4"/>
      <c r="I282" s="4"/>
      <c r="J282" s="4"/>
      <c r="K282" s="4"/>
      <c r="L282" s="4" t="str">
        <f>IF(A282="","",IF(ISERROR(VLOOKUP(A282,'pagos anticipados'!$A$2:$B$5,2,FALSE)),0,VLOOKUP(A282,'pagos anticipados'!$A$2:B280,2,FALSE)))</f>
        <v/>
      </c>
      <c r="M282" s="4" t="str">
        <f t="shared" si="101"/>
        <v/>
      </c>
      <c r="N282" s="1">
        <f t="shared" si="102"/>
        <v>0</v>
      </c>
      <c r="Q282" s="44" t="str">
        <f t="shared" si="109"/>
        <v/>
      </c>
      <c r="R282" s="44" t="str">
        <f t="shared" si="118"/>
        <v/>
      </c>
      <c r="S282" s="44" t="str">
        <f t="shared" si="110"/>
        <v/>
      </c>
      <c r="U282" s="42" t="str">
        <f t="shared" si="119"/>
        <v/>
      </c>
      <c r="V282" s="41" t="str">
        <f t="shared" si="120"/>
        <v/>
      </c>
      <c r="W282" s="41" t="str">
        <f t="shared" si="100"/>
        <v/>
      </c>
      <c r="Y282" s="35" t="str">
        <f t="shared" si="111"/>
        <v/>
      </c>
      <c r="Z282" s="34" t="str">
        <f t="shared" si="121"/>
        <v/>
      </c>
      <c r="AA282" s="34" t="str">
        <f t="shared" si="103"/>
        <v/>
      </c>
      <c r="AC282" s="36" t="str">
        <f t="shared" si="112"/>
        <v/>
      </c>
      <c r="AE282" s="37">
        <f t="shared" si="113"/>
        <v>0</v>
      </c>
      <c r="AG282" s="56" t="str">
        <f t="shared" si="122"/>
        <v/>
      </c>
      <c r="AH282" s="57" t="str">
        <f t="shared" si="114"/>
        <v/>
      </c>
      <c r="AI282" s="57" t="str">
        <f t="shared" si="123"/>
        <v/>
      </c>
      <c r="AJ282" s="57" t="str">
        <f t="shared" si="115"/>
        <v/>
      </c>
      <c r="AK282" s="57" t="str">
        <f t="shared" si="124"/>
        <v/>
      </c>
    </row>
    <row r="283" spans="1:37">
      <c r="A283" s="2" t="str">
        <f t="shared" si="116"/>
        <v/>
      </c>
      <c r="B283" s="10" t="str">
        <f t="shared" si="104"/>
        <v/>
      </c>
      <c r="C283" s="18" t="str">
        <f t="shared" si="105"/>
        <v/>
      </c>
      <c r="D283" s="4" t="str">
        <f t="shared" si="117"/>
        <v/>
      </c>
      <c r="E283" s="4" t="str">
        <f t="shared" si="106"/>
        <v/>
      </c>
      <c r="F283" s="4" t="str">
        <f t="shared" si="107"/>
        <v/>
      </c>
      <c r="G283" s="4" t="str">
        <f t="shared" si="108"/>
        <v/>
      </c>
      <c r="H283" s="4"/>
      <c r="I283" s="4"/>
      <c r="J283" s="4"/>
      <c r="K283" s="4"/>
      <c r="L283" s="4" t="str">
        <f>IF(A283="","",IF(ISERROR(VLOOKUP(A283,'pagos anticipados'!$A$2:$B$5,2,FALSE)),0,VLOOKUP(A283,'pagos anticipados'!$A$2:B281,2,FALSE)))</f>
        <v/>
      </c>
      <c r="M283" s="4" t="str">
        <f t="shared" si="101"/>
        <v/>
      </c>
      <c r="N283" s="1">
        <f t="shared" si="102"/>
        <v>0</v>
      </c>
      <c r="Q283" s="44" t="str">
        <f t="shared" si="109"/>
        <v/>
      </c>
      <c r="R283" s="44" t="str">
        <f t="shared" si="118"/>
        <v/>
      </c>
      <c r="S283" s="44" t="str">
        <f t="shared" si="110"/>
        <v/>
      </c>
      <c r="U283" s="42" t="str">
        <f t="shared" si="119"/>
        <v/>
      </c>
      <c r="V283" s="41" t="str">
        <f t="shared" si="120"/>
        <v/>
      </c>
      <c r="W283" s="41" t="str">
        <f t="shared" si="100"/>
        <v/>
      </c>
      <c r="Y283" s="35" t="str">
        <f t="shared" si="111"/>
        <v/>
      </c>
      <c r="Z283" s="34" t="str">
        <f t="shared" si="121"/>
        <v/>
      </c>
      <c r="AA283" s="34" t="str">
        <f t="shared" si="103"/>
        <v/>
      </c>
      <c r="AC283" s="36" t="str">
        <f t="shared" si="112"/>
        <v/>
      </c>
      <c r="AE283" s="37">
        <f t="shared" si="113"/>
        <v>0</v>
      </c>
      <c r="AG283" s="56" t="str">
        <f t="shared" si="122"/>
        <v/>
      </c>
      <c r="AH283" s="57" t="str">
        <f t="shared" si="114"/>
        <v/>
      </c>
      <c r="AI283" s="57" t="str">
        <f t="shared" si="123"/>
        <v/>
      </c>
      <c r="AJ283" s="57" t="str">
        <f t="shared" si="115"/>
        <v/>
      </c>
      <c r="AK283" s="57" t="str">
        <f t="shared" si="124"/>
        <v/>
      </c>
    </row>
    <row r="284" spans="1:37">
      <c r="A284" s="2" t="str">
        <f t="shared" si="116"/>
        <v/>
      </c>
      <c r="B284" s="10" t="str">
        <f t="shared" si="104"/>
        <v/>
      </c>
      <c r="C284" s="18" t="str">
        <f t="shared" si="105"/>
        <v/>
      </c>
      <c r="D284" s="4" t="str">
        <f t="shared" si="117"/>
        <v/>
      </c>
      <c r="E284" s="4" t="str">
        <f t="shared" si="106"/>
        <v/>
      </c>
      <c r="F284" s="4" t="str">
        <f t="shared" si="107"/>
        <v/>
      </c>
      <c r="G284" s="4" t="str">
        <f t="shared" si="108"/>
        <v/>
      </c>
      <c r="H284" s="4"/>
      <c r="I284" s="4"/>
      <c r="J284" s="4"/>
      <c r="K284" s="4"/>
      <c r="L284" s="4" t="str">
        <f>IF(A284="","",IF(ISERROR(VLOOKUP(A284,'pagos anticipados'!$A$2:$B$5,2,FALSE)),0,VLOOKUP(A284,'pagos anticipados'!$A$2:B282,2,FALSE)))</f>
        <v/>
      </c>
      <c r="M284" s="4" t="str">
        <f t="shared" si="101"/>
        <v/>
      </c>
      <c r="N284" s="1">
        <f t="shared" si="102"/>
        <v>0</v>
      </c>
      <c r="Q284" s="44" t="str">
        <f t="shared" si="109"/>
        <v/>
      </c>
      <c r="R284" s="44" t="str">
        <f t="shared" si="118"/>
        <v/>
      </c>
      <c r="S284" s="44" t="str">
        <f t="shared" si="110"/>
        <v/>
      </c>
      <c r="U284" s="42" t="str">
        <f t="shared" si="119"/>
        <v/>
      </c>
      <c r="V284" s="41" t="str">
        <f t="shared" si="120"/>
        <v/>
      </c>
      <c r="W284" s="41" t="str">
        <f t="shared" si="100"/>
        <v/>
      </c>
      <c r="Y284" s="35" t="str">
        <f t="shared" si="111"/>
        <v/>
      </c>
      <c r="Z284" s="34" t="str">
        <f t="shared" si="121"/>
        <v/>
      </c>
      <c r="AA284" s="34" t="str">
        <f t="shared" si="103"/>
        <v/>
      </c>
      <c r="AC284" s="36" t="str">
        <f t="shared" si="112"/>
        <v/>
      </c>
      <c r="AE284" s="37">
        <f t="shared" si="113"/>
        <v>0</v>
      </c>
      <c r="AG284" s="56" t="str">
        <f t="shared" si="122"/>
        <v/>
      </c>
      <c r="AH284" s="57" t="str">
        <f t="shared" si="114"/>
        <v/>
      </c>
      <c r="AI284" s="57" t="str">
        <f t="shared" si="123"/>
        <v/>
      </c>
      <c r="AJ284" s="57" t="str">
        <f t="shared" si="115"/>
        <v/>
      </c>
      <c r="AK284" s="57" t="str">
        <f t="shared" si="124"/>
        <v/>
      </c>
    </row>
    <row r="285" spans="1:37">
      <c r="A285" s="2" t="str">
        <f t="shared" si="116"/>
        <v/>
      </c>
      <c r="B285" s="10" t="str">
        <f t="shared" si="104"/>
        <v/>
      </c>
      <c r="C285" s="18" t="str">
        <f t="shared" si="105"/>
        <v/>
      </c>
      <c r="D285" s="4" t="str">
        <f t="shared" si="117"/>
        <v/>
      </c>
      <c r="E285" s="4" t="str">
        <f t="shared" si="106"/>
        <v/>
      </c>
      <c r="F285" s="4" t="str">
        <f t="shared" si="107"/>
        <v/>
      </c>
      <c r="G285" s="4" t="str">
        <f t="shared" si="108"/>
        <v/>
      </c>
      <c r="H285" s="4"/>
      <c r="I285" s="4"/>
      <c r="J285" s="4"/>
      <c r="K285" s="4"/>
      <c r="L285" s="4" t="str">
        <f>IF(A285="","",IF(ISERROR(VLOOKUP(A285,'pagos anticipados'!$A$2:$B$5,2,FALSE)),0,VLOOKUP(A285,'pagos anticipados'!$A$2:B283,2,FALSE)))</f>
        <v/>
      </c>
      <c r="M285" s="4" t="str">
        <f t="shared" si="101"/>
        <v/>
      </c>
      <c r="N285" s="1">
        <f t="shared" si="102"/>
        <v>0</v>
      </c>
      <c r="Q285" s="44" t="str">
        <f t="shared" si="109"/>
        <v/>
      </c>
      <c r="R285" s="44" t="str">
        <f t="shared" si="118"/>
        <v/>
      </c>
      <c r="S285" s="44" t="str">
        <f t="shared" si="110"/>
        <v/>
      </c>
      <c r="U285" s="42" t="str">
        <f t="shared" si="119"/>
        <v/>
      </c>
      <c r="V285" s="41" t="str">
        <f t="shared" si="120"/>
        <v/>
      </c>
      <c r="W285" s="41" t="str">
        <f t="shared" si="100"/>
        <v/>
      </c>
      <c r="Y285" s="35" t="str">
        <f t="shared" si="111"/>
        <v/>
      </c>
      <c r="Z285" s="34" t="str">
        <f t="shared" si="121"/>
        <v/>
      </c>
      <c r="AA285" s="34" t="str">
        <f t="shared" si="103"/>
        <v/>
      </c>
      <c r="AC285" s="36" t="str">
        <f t="shared" si="112"/>
        <v/>
      </c>
      <c r="AE285" s="37">
        <f t="shared" si="113"/>
        <v>0</v>
      </c>
      <c r="AG285" s="56" t="str">
        <f t="shared" si="122"/>
        <v/>
      </c>
      <c r="AH285" s="57" t="str">
        <f t="shared" si="114"/>
        <v/>
      </c>
      <c r="AI285" s="57" t="str">
        <f t="shared" si="123"/>
        <v/>
      </c>
      <c r="AJ285" s="57" t="str">
        <f t="shared" si="115"/>
        <v/>
      </c>
      <c r="AK285" s="57" t="str">
        <f t="shared" si="124"/>
        <v/>
      </c>
    </row>
    <row r="286" spans="1:37">
      <c r="A286" s="2" t="str">
        <f t="shared" si="116"/>
        <v/>
      </c>
      <c r="B286" s="10" t="str">
        <f t="shared" si="104"/>
        <v/>
      </c>
      <c r="C286" s="18" t="str">
        <f t="shared" si="105"/>
        <v/>
      </c>
      <c r="D286" s="4" t="str">
        <f t="shared" si="117"/>
        <v/>
      </c>
      <c r="E286" s="4" t="str">
        <f t="shared" si="106"/>
        <v/>
      </c>
      <c r="F286" s="4" t="str">
        <f t="shared" si="107"/>
        <v/>
      </c>
      <c r="G286" s="4" t="str">
        <f t="shared" si="108"/>
        <v/>
      </c>
      <c r="H286" s="4"/>
      <c r="I286" s="4"/>
      <c r="J286" s="4"/>
      <c r="K286" s="4"/>
      <c r="L286" s="4" t="str">
        <f>IF(A286="","",IF(ISERROR(VLOOKUP(A286,'pagos anticipados'!$A$2:$B$5,2,FALSE)),0,VLOOKUP(A286,'pagos anticipados'!$A$2:B284,2,FALSE)))</f>
        <v/>
      </c>
      <c r="M286" s="4" t="str">
        <f t="shared" si="101"/>
        <v/>
      </c>
      <c r="N286" s="1">
        <f t="shared" si="102"/>
        <v>0</v>
      </c>
      <c r="Q286" s="44" t="str">
        <f t="shared" si="109"/>
        <v/>
      </c>
      <c r="R286" s="44" t="str">
        <f t="shared" si="118"/>
        <v/>
      </c>
      <c r="S286" s="44" t="str">
        <f t="shared" si="110"/>
        <v/>
      </c>
      <c r="U286" s="42" t="str">
        <f t="shared" si="119"/>
        <v/>
      </c>
      <c r="V286" s="41" t="str">
        <f t="shared" si="120"/>
        <v/>
      </c>
      <c r="W286" s="41" t="str">
        <f t="shared" si="100"/>
        <v/>
      </c>
      <c r="Y286" s="35" t="str">
        <f t="shared" si="111"/>
        <v/>
      </c>
      <c r="Z286" s="34" t="str">
        <f t="shared" si="121"/>
        <v/>
      </c>
      <c r="AA286" s="34" t="str">
        <f t="shared" si="103"/>
        <v/>
      </c>
      <c r="AC286" s="36" t="str">
        <f t="shared" si="112"/>
        <v/>
      </c>
      <c r="AE286" s="37">
        <f t="shared" si="113"/>
        <v>0</v>
      </c>
      <c r="AG286" s="56" t="str">
        <f t="shared" si="122"/>
        <v/>
      </c>
      <c r="AH286" s="57" t="str">
        <f t="shared" si="114"/>
        <v/>
      </c>
      <c r="AI286" s="57" t="str">
        <f t="shared" si="123"/>
        <v/>
      </c>
      <c r="AJ286" s="57" t="str">
        <f t="shared" si="115"/>
        <v/>
      </c>
      <c r="AK286" s="57" t="str">
        <f t="shared" si="124"/>
        <v/>
      </c>
    </row>
    <row r="287" spans="1:37">
      <c r="A287" s="2" t="str">
        <f t="shared" si="116"/>
        <v/>
      </c>
      <c r="B287" s="10" t="str">
        <f t="shared" si="104"/>
        <v/>
      </c>
      <c r="C287" s="18" t="str">
        <f t="shared" si="105"/>
        <v/>
      </c>
      <c r="D287" s="4" t="str">
        <f t="shared" si="117"/>
        <v/>
      </c>
      <c r="E287" s="4" t="str">
        <f t="shared" si="106"/>
        <v/>
      </c>
      <c r="F287" s="4" t="str">
        <f t="shared" si="107"/>
        <v/>
      </c>
      <c r="G287" s="4" t="str">
        <f t="shared" si="108"/>
        <v/>
      </c>
      <c r="H287" s="4"/>
      <c r="I287" s="4"/>
      <c r="J287" s="4"/>
      <c r="K287" s="4"/>
      <c r="L287" s="4" t="str">
        <f>IF(A287="","",IF(ISERROR(VLOOKUP(A287,'pagos anticipados'!$A$2:$B$5,2,FALSE)),0,VLOOKUP(A287,'pagos anticipados'!$A$2:B285,2,FALSE)))</f>
        <v/>
      </c>
      <c r="M287" s="4" t="str">
        <f t="shared" si="101"/>
        <v/>
      </c>
      <c r="N287" s="1">
        <f t="shared" si="102"/>
        <v>0</v>
      </c>
      <c r="Q287" s="44" t="str">
        <f t="shared" si="109"/>
        <v/>
      </c>
      <c r="R287" s="44" t="str">
        <f t="shared" si="118"/>
        <v/>
      </c>
      <c r="S287" s="44" t="str">
        <f t="shared" si="110"/>
        <v/>
      </c>
      <c r="U287" s="42" t="str">
        <f t="shared" si="119"/>
        <v/>
      </c>
      <c r="V287" s="41" t="str">
        <f t="shared" si="120"/>
        <v/>
      </c>
      <c r="W287" s="41" t="str">
        <f t="shared" si="100"/>
        <v/>
      </c>
      <c r="Y287" s="35" t="str">
        <f t="shared" si="111"/>
        <v/>
      </c>
      <c r="Z287" s="34" t="str">
        <f t="shared" si="121"/>
        <v/>
      </c>
      <c r="AA287" s="34" t="str">
        <f t="shared" si="103"/>
        <v/>
      </c>
      <c r="AC287" s="36" t="str">
        <f t="shared" si="112"/>
        <v/>
      </c>
      <c r="AE287" s="37">
        <f t="shared" si="113"/>
        <v>0</v>
      </c>
      <c r="AG287" s="56" t="str">
        <f t="shared" si="122"/>
        <v/>
      </c>
      <c r="AH287" s="57" t="str">
        <f t="shared" si="114"/>
        <v/>
      </c>
      <c r="AI287" s="57" t="str">
        <f t="shared" si="123"/>
        <v/>
      </c>
      <c r="AJ287" s="57" t="str">
        <f t="shared" si="115"/>
        <v/>
      </c>
      <c r="AK287" s="57" t="str">
        <f t="shared" si="124"/>
        <v/>
      </c>
    </row>
    <row r="288" spans="1:37">
      <c r="A288" s="2" t="str">
        <f t="shared" si="116"/>
        <v/>
      </c>
      <c r="B288" s="10" t="str">
        <f t="shared" si="104"/>
        <v/>
      </c>
      <c r="C288" s="18" t="str">
        <f t="shared" si="105"/>
        <v/>
      </c>
      <c r="D288" s="4" t="str">
        <f t="shared" si="117"/>
        <v/>
      </c>
      <c r="E288" s="4" t="str">
        <f t="shared" si="106"/>
        <v/>
      </c>
      <c r="F288" s="4" t="str">
        <f t="shared" si="107"/>
        <v/>
      </c>
      <c r="G288" s="4" t="str">
        <f t="shared" si="108"/>
        <v/>
      </c>
      <c r="H288" s="4"/>
      <c r="I288" s="4"/>
      <c r="J288" s="4"/>
      <c r="K288" s="4"/>
      <c r="L288" s="4" t="str">
        <f>IF(A288="","",IF(ISERROR(VLOOKUP(A288,'pagos anticipados'!$A$2:$B$5,2,FALSE)),0,VLOOKUP(A288,'pagos anticipados'!$A$2:B286,2,FALSE)))</f>
        <v/>
      </c>
      <c r="M288" s="4" t="str">
        <f t="shared" si="101"/>
        <v/>
      </c>
      <c r="N288" s="1">
        <f t="shared" si="102"/>
        <v>0</v>
      </c>
      <c r="Q288" s="44" t="str">
        <f t="shared" si="109"/>
        <v/>
      </c>
      <c r="R288" s="44" t="str">
        <f t="shared" si="118"/>
        <v/>
      </c>
      <c r="S288" s="44" t="str">
        <f t="shared" si="110"/>
        <v/>
      </c>
      <c r="U288" s="42" t="str">
        <f t="shared" si="119"/>
        <v/>
      </c>
      <c r="V288" s="41" t="str">
        <f t="shared" si="120"/>
        <v/>
      </c>
      <c r="W288" s="41" t="str">
        <f t="shared" si="100"/>
        <v/>
      </c>
      <c r="Y288" s="35" t="str">
        <f t="shared" si="111"/>
        <v/>
      </c>
      <c r="Z288" s="34" t="str">
        <f t="shared" si="121"/>
        <v/>
      </c>
      <c r="AA288" s="34" t="str">
        <f t="shared" si="103"/>
        <v/>
      </c>
      <c r="AC288" s="36" t="str">
        <f t="shared" si="112"/>
        <v/>
      </c>
      <c r="AE288" s="37">
        <f t="shared" si="113"/>
        <v>0</v>
      </c>
      <c r="AG288" s="56" t="str">
        <f t="shared" si="122"/>
        <v/>
      </c>
      <c r="AH288" s="57" t="str">
        <f t="shared" si="114"/>
        <v/>
      </c>
      <c r="AI288" s="57" t="str">
        <f t="shared" si="123"/>
        <v/>
      </c>
      <c r="AJ288" s="57" t="str">
        <f t="shared" si="115"/>
        <v/>
      </c>
      <c r="AK288" s="57" t="str">
        <f t="shared" si="124"/>
        <v/>
      </c>
    </row>
    <row r="289" spans="1:37">
      <c r="A289" s="2" t="str">
        <f t="shared" si="116"/>
        <v/>
      </c>
      <c r="B289" s="10" t="str">
        <f t="shared" si="104"/>
        <v/>
      </c>
      <c r="C289" s="18" t="str">
        <f t="shared" si="105"/>
        <v/>
      </c>
      <c r="D289" s="4" t="str">
        <f t="shared" si="117"/>
        <v/>
      </c>
      <c r="E289" s="4" t="str">
        <f t="shared" si="106"/>
        <v/>
      </c>
      <c r="F289" s="4" t="str">
        <f t="shared" si="107"/>
        <v/>
      </c>
      <c r="G289" s="4" t="str">
        <f t="shared" si="108"/>
        <v/>
      </c>
      <c r="H289" s="4"/>
      <c r="I289" s="4"/>
      <c r="J289" s="4"/>
      <c r="K289" s="4"/>
      <c r="L289" s="4" t="str">
        <f>IF(A289="","",IF(ISERROR(VLOOKUP(A289,'pagos anticipados'!$A$2:$B$5,2,FALSE)),0,VLOOKUP(A289,'pagos anticipados'!$A$2:B287,2,FALSE)))</f>
        <v/>
      </c>
      <c r="M289" s="4" t="str">
        <f t="shared" si="101"/>
        <v/>
      </c>
      <c r="N289" s="1">
        <f t="shared" si="102"/>
        <v>0</v>
      </c>
      <c r="Q289" s="44" t="str">
        <f t="shared" si="109"/>
        <v/>
      </c>
      <c r="R289" s="44" t="str">
        <f t="shared" si="118"/>
        <v/>
      </c>
      <c r="S289" s="44" t="str">
        <f t="shared" si="110"/>
        <v/>
      </c>
      <c r="U289" s="42" t="str">
        <f t="shared" si="119"/>
        <v/>
      </c>
      <c r="V289" s="41" t="str">
        <f t="shared" si="120"/>
        <v/>
      </c>
      <c r="W289" s="41" t="str">
        <f t="shared" si="100"/>
        <v/>
      </c>
      <c r="Y289" s="35" t="str">
        <f t="shared" si="111"/>
        <v/>
      </c>
      <c r="Z289" s="34" t="str">
        <f t="shared" si="121"/>
        <v/>
      </c>
      <c r="AA289" s="34" t="str">
        <f t="shared" si="103"/>
        <v/>
      </c>
      <c r="AC289" s="36" t="str">
        <f t="shared" si="112"/>
        <v/>
      </c>
      <c r="AE289" s="37">
        <f t="shared" si="113"/>
        <v>0</v>
      </c>
      <c r="AG289" s="56" t="str">
        <f t="shared" si="122"/>
        <v/>
      </c>
      <c r="AH289" s="57" t="str">
        <f t="shared" si="114"/>
        <v/>
      </c>
      <c r="AI289" s="57" t="str">
        <f t="shared" si="123"/>
        <v/>
      </c>
      <c r="AJ289" s="57" t="str">
        <f t="shared" si="115"/>
        <v/>
      </c>
      <c r="AK289" s="57" t="str">
        <f t="shared" si="124"/>
        <v/>
      </c>
    </row>
    <row r="290" spans="1:37">
      <c r="A290" s="2" t="str">
        <f t="shared" si="116"/>
        <v/>
      </c>
      <c r="B290" s="10" t="str">
        <f t="shared" si="104"/>
        <v/>
      </c>
      <c r="C290" s="18" t="str">
        <f t="shared" si="105"/>
        <v/>
      </c>
      <c r="D290" s="4" t="str">
        <f t="shared" si="117"/>
        <v/>
      </c>
      <c r="E290" s="4" t="str">
        <f t="shared" si="106"/>
        <v/>
      </c>
      <c r="F290" s="4" t="str">
        <f t="shared" si="107"/>
        <v/>
      </c>
      <c r="G290" s="4" t="str">
        <f t="shared" si="108"/>
        <v/>
      </c>
      <c r="H290" s="4"/>
      <c r="I290" s="4"/>
      <c r="J290" s="4"/>
      <c r="K290" s="4"/>
      <c r="L290" s="4" t="str">
        <f>IF(A290="","",IF(ISERROR(VLOOKUP(A290,'pagos anticipados'!$A$2:$B$5,2,FALSE)),0,VLOOKUP(A290,'pagos anticipados'!$A$2:B288,2,FALSE)))</f>
        <v/>
      </c>
      <c r="M290" s="4" t="str">
        <f t="shared" si="101"/>
        <v/>
      </c>
      <c r="N290" s="1">
        <f t="shared" si="102"/>
        <v>0</v>
      </c>
      <c r="Q290" s="44" t="str">
        <f t="shared" si="109"/>
        <v/>
      </c>
      <c r="R290" s="44" t="str">
        <f t="shared" si="118"/>
        <v/>
      </c>
      <c r="S290" s="44" t="str">
        <f t="shared" si="110"/>
        <v/>
      </c>
      <c r="U290" s="42" t="str">
        <f t="shared" si="119"/>
        <v/>
      </c>
      <c r="V290" s="41" t="str">
        <f t="shared" si="120"/>
        <v/>
      </c>
      <c r="W290" s="41" t="str">
        <f t="shared" si="100"/>
        <v/>
      </c>
      <c r="Y290" s="35" t="str">
        <f t="shared" si="111"/>
        <v/>
      </c>
      <c r="Z290" s="34" t="str">
        <f t="shared" si="121"/>
        <v/>
      </c>
      <c r="AA290" s="34" t="str">
        <f t="shared" si="103"/>
        <v/>
      </c>
      <c r="AC290" s="36" t="str">
        <f t="shared" si="112"/>
        <v/>
      </c>
      <c r="AE290" s="37">
        <f t="shared" si="113"/>
        <v>0</v>
      </c>
      <c r="AG290" s="56" t="str">
        <f t="shared" si="122"/>
        <v/>
      </c>
      <c r="AH290" s="57" t="str">
        <f t="shared" si="114"/>
        <v/>
      </c>
      <c r="AI290" s="57" t="str">
        <f t="shared" si="123"/>
        <v/>
      </c>
      <c r="AJ290" s="57" t="str">
        <f t="shared" si="115"/>
        <v/>
      </c>
      <c r="AK290" s="57" t="str">
        <f t="shared" si="124"/>
        <v/>
      </c>
    </row>
    <row r="291" spans="1:37">
      <c r="A291" s="2" t="str">
        <f t="shared" si="116"/>
        <v/>
      </c>
      <c r="B291" s="10" t="str">
        <f t="shared" si="104"/>
        <v/>
      </c>
      <c r="C291" s="18" t="str">
        <f t="shared" si="105"/>
        <v/>
      </c>
      <c r="D291" s="4" t="str">
        <f t="shared" si="117"/>
        <v/>
      </c>
      <c r="E291" s="4" t="str">
        <f t="shared" si="106"/>
        <v/>
      </c>
      <c r="F291" s="4" t="str">
        <f t="shared" si="107"/>
        <v/>
      </c>
      <c r="G291" s="4" t="str">
        <f t="shared" si="108"/>
        <v/>
      </c>
      <c r="H291" s="4"/>
      <c r="I291" s="4"/>
      <c r="J291" s="4"/>
      <c r="K291" s="4"/>
      <c r="L291" s="4" t="str">
        <f>IF(A291="","",IF(ISERROR(VLOOKUP(A291,'pagos anticipados'!$A$2:$B$5,2,FALSE)),0,VLOOKUP(A291,'pagos anticipados'!$A$2:B289,2,FALSE)))</f>
        <v/>
      </c>
      <c r="M291" s="4" t="str">
        <f t="shared" si="101"/>
        <v/>
      </c>
      <c r="N291" s="1">
        <f t="shared" si="102"/>
        <v>0</v>
      </c>
      <c r="Q291" s="44" t="str">
        <f t="shared" si="109"/>
        <v/>
      </c>
      <c r="R291" s="44" t="str">
        <f t="shared" si="118"/>
        <v/>
      </c>
      <c r="S291" s="44" t="str">
        <f t="shared" si="110"/>
        <v/>
      </c>
      <c r="U291" s="42" t="str">
        <f t="shared" si="119"/>
        <v/>
      </c>
      <c r="V291" s="41" t="str">
        <f t="shared" si="120"/>
        <v/>
      </c>
      <c r="W291" s="41" t="str">
        <f t="shared" ref="W291:W354" si="125">IF(A291="","",IF(PAGO_FIJO&gt;R291,R291,PAGO_FIJO-V291))</f>
        <v/>
      </c>
      <c r="Y291" s="35" t="str">
        <f t="shared" si="111"/>
        <v/>
      </c>
      <c r="Z291" s="34" t="str">
        <f t="shared" si="121"/>
        <v/>
      </c>
      <c r="AA291" s="34" t="str">
        <f t="shared" si="103"/>
        <v/>
      </c>
      <c r="AC291" s="36" t="str">
        <f t="shared" si="112"/>
        <v/>
      </c>
      <c r="AE291" s="37">
        <f t="shared" si="113"/>
        <v>0</v>
      </c>
      <c r="AG291" s="56" t="str">
        <f t="shared" si="122"/>
        <v/>
      </c>
      <c r="AH291" s="57" t="str">
        <f t="shared" si="114"/>
        <v/>
      </c>
      <c r="AI291" s="57" t="str">
        <f t="shared" si="123"/>
        <v/>
      </c>
      <c r="AJ291" s="57" t="str">
        <f t="shared" si="115"/>
        <v/>
      </c>
      <c r="AK291" s="57" t="str">
        <f t="shared" si="124"/>
        <v/>
      </c>
    </row>
    <row r="292" spans="1:37">
      <c r="A292" s="2" t="str">
        <f t="shared" si="116"/>
        <v/>
      </c>
      <c r="B292" s="10" t="str">
        <f t="shared" si="104"/>
        <v/>
      </c>
      <c r="C292" s="18" t="str">
        <f t="shared" si="105"/>
        <v/>
      </c>
      <c r="D292" s="4" t="str">
        <f t="shared" si="117"/>
        <v/>
      </c>
      <c r="E292" s="4" t="str">
        <f t="shared" si="106"/>
        <v/>
      </c>
      <c r="F292" s="4" t="str">
        <f t="shared" si="107"/>
        <v/>
      </c>
      <c r="G292" s="4" t="str">
        <f t="shared" si="108"/>
        <v/>
      </c>
      <c r="H292" s="4"/>
      <c r="I292" s="4"/>
      <c r="J292" s="4"/>
      <c r="K292" s="4"/>
      <c r="L292" s="4" t="str">
        <f>IF(A292="","",IF(ISERROR(VLOOKUP(A292,'pagos anticipados'!$A$2:$B$5,2,FALSE)),0,VLOOKUP(A292,'pagos anticipados'!$A$2:B290,2,FALSE)))</f>
        <v/>
      </c>
      <c r="M292" s="4" t="str">
        <f t="shared" si="101"/>
        <v/>
      </c>
      <c r="N292" s="1">
        <f t="shared" si="102"/>
        <v>0</v>
      </c>
      <c r="Q292" s="44" t="str">
        <f t="shared" si="109"/>
        <v/>
      </c>
      <c r="R292" s="44" t="str">
        <f t="shared" si="118"/>
        <v/>
      </c>
      <c r="S292" s="44" t="str">
        <f t="shared" si="110"/>
        <v/>
      </c>
      <c r="U292" s="42" t="str">
        <f t="shared" si="119"/>
        <v/>
      </c>
      <c r="V292" s="41" t="str">
        <f t="shared" si="120"/>
        <v/>
      </c>
      <c r="W292" s="41" t="str">
        <f t="shared" si="125"/>
        <v/>
      </c>
      <c r="Y292" s="35" t="str">
        <f t="shared" si="111"/>
        <v/>
      </c>
      <c r="Z292" s="34" t="str">
        <f t="shared" si="121"/>
        <v/>
      </c>
      <c r="AA292" s="34" t="str">
        <f t="shared" si="103"/>
        <v/>
      </c>
      <c r="AC292" s="36" t="str">
        <f t="shared" si="112"/>
        <v/>
      </c>
      <c r="AE292" s="37">
        <f t="shared" si="113"/>
        <v>0</v>
      </c>
      <c r="AG292" s="56" t="str">
        <f t="shared" si="122"/>
        <v/>
      </c>
      <c r="AH292" s="57" t="str">
        <f t="shared" si="114"/>
        <v/>
      </c>
      <c r="AI292" s="57" t="str">
        <f t="shared" si="123"/>
        <v/>
      </c>
      <c r="AJ292" s="57" t="str">
        <f t="shared" si="115"/>
        <v/>
      </c>
      <c r="AK292" s="57" t="str">
        <f t="shared" si="124"/>
        <v/>
      </c>
    </row>
    <row r="293" spans="1:37">
      <c r="A293" s="2" t="str">
        <f t="shared" si="116"/>
        <v/>
      </c>
      <c r="B293" s="10" t="str">
        <f t="shared" si="104"/>
        <v/>
      </c>
      <c r="C293" s="18" t="str">
        <f t="shared" si="105"/>
        <v/>
      </c>
      <c r="D293" s="4" t="str">
        <f t="shared" si="117"/>
        <v/>
      </c>
      <c r="E293" s="4" t="str">
        <f t="shared" si="106"/>
        <v/>
      </c>
      <c r="F293" s="4" t="str">
        <f t="shared" si="107"/>
        <v/>
      </c>
      <c r="G293" s="4" t="str">
        <f t="shared" si="108"/>
        <v/>
      </c>
      <c r="H293" s="4"/>
      <c r="I293" s="4"/>
      <c r="J293" s="4"/>
      <c r="K293" s="4"/>
      <c r="L293" s="4" t="str">
        <f>IF(A293="","",IF(ISERROR(VLOOKUP(A293,'pagos anticipados'!$A$2:$B$5,2,FALSE)),0,VLOOKUP(A293,'pagos anticipados'!$A$2:B291,2,FALSE)))</f>
        <v/>
      </c>
      <c r="M293" s="4" t="str">
        <f t="shared" si="101"/>
        <v/>
      </c>
      <c r="N293" s="1">
        <f t="shared" si="102"/>
        <v>0</v>
      </c>
      <c r="Q293" s="44" t="str">
        <f t="shared" si="109"/>
        <v/>
      </c>
      <c r="R293" s="44" t="str">
        <f t="shared" si="118"/>
        <v/>
      </c>
      <c r="S293" s="44" t="str">
        <f t="shared" si="110"/>
        <v/>
      </c>
      <c r="U293" s="42" t="str">
        <f t="shared" si="119"/>
        <v/>
      </c>
      <c r="V293" s="41" t="str">
        <f t="shared" si="120"/>
        <v/>
      </c>
      <c r="W293" s="41" t="str">
        <f t="shared" si="125"/>
        <v/>
      </c>
      <c r="Y293" s="35" t="str">
        <f t="shared" si="111"/>
        <v/>
      </c>
      <c r="Z293" s="34" t="str">
        <f t="shared" si="121"/>
        <v/>
      </c>
      <c r="AA293" s="34" t="str">
        <f t="shared" si="103"/>
        <v/>
      </c>
      <c r="AC293" s="36" t="str">
        <f t="shared" si="112"/>
        <v/>
      </c>
      <c r="AE293" s="37">
        <f t="shared" si="113"/>
        <v>0</v>
      </c>
      <c r="AG293" s="56" t="str">
        <f t="shared" si="122"/>
        <v/>
      </c>
      <c r="AH293" s="57" t="str">
        <f t="shared" si="114"/>
        <v/>
      </c>
      <c r="AI293" s="57" t="str">
        <f t="shared" si="123"/>
        <v/>
      </c>
      <c r="AJ293" s="57" t="str">
        <f t="shared" si="115"/>
        <v/>
      </c>
      <c r="AK293" s="57" t="str">
        <f t="shared" si="124"/>
        <v/>
      </c>
    </row>
    <row r="294" spans="1:37">
      <c r="A294" s="2" t="str">
        <f t="shared" si="116"/>
        <v/>
      </c>
      <c r="B294" s="10" t="str">
        <f t="shared" si="104"/>
        <v/>
      </c>
      <c r="C294" s="18" t="str">
        <f t="shared" si="105"/>
        <v/>
      </c>
      <c r="D294" s="4" t="str">
        <f t="shared" si="117"/>
        <v/>
      </c>
      <c r="E294" s="4" t="str">
        <f t="shared" si="106"/>
        <v/>
      </c>
      <c r="F294" s="4" t="str">
        <f t="shared" si="107"/>
        <v/>
      </c>
      <c r="G294" s="4" t="str">
        <f t="shared" si="108"/>
        <v/>
      </c>
      <c r="H294" s="4"/>
      <c r="I294" s="4"/>
      <c r="J294" s="4"/>
      <c r="K294" s="4"/>
      <c r="L294" s="4" t="str">
        <f>IF(A294="","",IF(ISERROR(VLOOKUP(A294,'pagos anticipados'!$A$2:$B$5,2,FALSE)),0,VLOOKUP(A294,'pagos anticipados'!$A$2:B292,2,FALSE)))</f>
        <v/>
      </c>
      <c r="M294" s="4" t="str">
        <f t="shared" si="101"/>
        <v/>
      </c>
      <c r="N294" s="1">
        <f t="shared" si="102"/>
        <v>0</v>
      </c>
      <c r="Q294" s="44" t="str">
        <f t="shared" si="109"/>
        <v/>
      </c>
      <c r="R294" s="44" t="str">
        <f t="shared" si="118"/>
        <v/>
      </c>
      <c r="S294" s="44" t="str">
        <f t="shared" si="110"/>
        <v/>
      </c>
      <c r="U294" s="42" t="str">
        <f t="shared" si="119"/>
        <v/>
      </c>
      <c r="V294" s="41" t="str">
        <f t="shared" si="120"/>
        <v/>
      </c>
      <c r="W294" s="41" t="str">
        <f t="shared" si="125"/>
        <v/>
      </c>
      <c r="Y294" s="35" t="str">
        <f t="shared" si="111"/>
        <v/>
      </c>
      <c r="Z294" s="34" t="str">
        <f t="shared" si="121"/>
        <v/>
      </c>
      <c r="AA294" s="34" t="str">
        <f t="shared" si="103"/>
        <v/>
      </c>
      <c r="AC294" s="36" t="str">
        <f t="shared" si="112"/>
        <v/>
      </c>
      <c r="AE294" s="37">
        <f t="shared" si="113"/>
        <v>0</v>
      </c>
      <c r="AG294" s="56" t="str">
        <f t="shared" si="122"/>
        <v/>
      </c>
      <c r="AH294" s="57" t="str">
        <f t="shared" si="114"/>
        <v/>
      </c>
      <c r="AI294" s="57" t="str">
        <f t="shared" si="123"/>
        <v/>
      </c>
      <c r="AJ294" s="57" t="str">
        <f t="shared" si="115"/>
        <v/>
      </c>
      <c r="AK294" s="57" t="str">
        <f t="shared" si="124"/>
        <v/>
      </c>
    </row>
    <row r="295" spans="1:37">
      <c r="A295" s="2" t="str">
        <f t="shared" si="116"/>
        <v/>
      </c>
      <c r="B295" s="10" t="str">
        <f t="shared" si="104"/>
        <v/>
      </c>
      <c r="C295" s="18" t="str">
        <f t="shared" si="105"/>
        <v/>
      </c>
      <c r="D295" s="4" t="str">
        <f t="shared" si="117"/>
        <v/>
      </c>
      <c r="E295" s="4" t="str">
        <f t="shared" si="106"/>
        <v/>
      </c>
      <c r="F295" s="4" t="str">
        <f t="shared" si="107"/>
        <v/>
      </c>
      <c r="G295" s="4" t="str">
        <f t="shared" si="108"/>
        <v/>
      </c>
      <c r="H295" s="4"/>
      <c r="I295" s="4"/>
      <c r="J295" s="4"/>
      <c r="K295" s="4"/>
      <c r="L295" s="4" t="str">
        <f>IF(A295="","",IF(ISERROR(VLOOKUP(A295,'pagos anticipados'!$A$2:$B$5,2,FALSE)),0,VLOOKUP(A295,'pagos anticipados'!$A$2:B293,2,FALSE)))</f>
        <v/>
      </c>
      <c r="M295" s="4" t="str">
        <f t="shared" si="101"/>
        <v/>
      </c>
      <c r="N295" s="1">
        <f t="shared" si="102"/>
        <v>0</v>
      </c>
      <c r="Q295" s="44" t="str">
        <f t="shared" si="109"/>
        <v/>
      </c>
      <c r="R295" s="44" t="str">
        <f t="shared" si="118"/>
        <v/>
      </c>
      <c r="S295" s="44" t="str">
        <f t="shared" si="110"/>
        <v/>
      </c>
      <c r="U295" s="42" t="str">
        <f t="shared" si="119"/>
        <v/>
      </c>
      <c r="V295" s="41" t="str">
        <f t="shared" si="120"/>
        <v/>
      </c>
      <c r="W295" s="41" t="str">
        <f t="shared" si="125"/>
        <v/>
      </c>
      <c r="Y295" s="35" t="str">
        <f t="shared" si="111"/>
        <v/>
      </c>
      <c r="Z295" s="34" t="str">
        <f t="shared" si="121"/>
        <v/>
      </c>
      <c r="AA295" s="34" t="str">
        <f t="shared" si="103"/>
        <v/>
      </c>
      <c r="AC295" s="36" t="str">
        <f t="shared" si="112"/>
        <v/>
      </c>
      <c r="AE295" s="37">
        <f t="shared" si="113"/>
        <v>0</v>
      </c>
      <c r="AG295" s="56" t="str">
        <f t="shared" si="122"/>
        <v/>
      </c>
      <c r="AH295" s="57" t="str">
        <f t="shared" si="114"/>
        <v/>
      </c>
      <c r="AI295" s="57" t="str">
        <f t="shared" si="123"/>
        <v/>
      </c>
      <c r="AJ295" s="57" t="str">
        <f t="shared" si="115"/>
        <v/>
      </c>
      <c r="AK295" s="57" t="str">
        <f t="shared" si="124"/>
        <v/>
      </c>
    </row>
    <row r="296" spans="1:37">
      <c r="A296" s="2" t="str">
        <f t="shared" si="116"/>
        <v/>
      </c>
      <c r="B296" s="10" t="str">
        <f t="shared" si="104"/>
        <v/>
      </c>
      <c r="C296" s="18" t="str">
        <f t="shared" si="105"/>
        <v/>
      </c>
      <c r="D296" s="4" t="str">
        <f t="shared" si="117"/>
        <v/>
      </c>
      <c r="E296" s="4" t="str">
        <f t="shared" si="106"/>
        <v/>
      </c>
      <c r="F296" s="4" t="str">
        <f t="shared" si="107"/>
        <v/>
      </c>
      <c r="G296" s="4" t="str">
        <f t="shared" si="108"/>
        <v/>
      </c>
      <c r="H296" s="4"/>
      <c r="I296" s="4"/>
      <c r="J296" s="4"/>
      <c r="K296" s="4"/>
      <c r="L296" s="4" t="str">
        <f>IF(A296="","",IF(ISERROR(VLOOKUP(A296,'pagos anticipados'!$A$2:$B$5,2,FALSE)),0,VLOOKUP(A296,'pagos anticipados'!$A$2:B294,2,FALSE)))</f>
        <v/>
      </c>
      <c r="M296" s="4" t="str">
        <f t="shared" si="101"/>
        <v/>
      </c>
      <c r="N296" s="1">
        <f t="shared" si="102"/>
        <v>0</v>
      </c>
      <c r="Q296" s="44" t="str">
        <f t="shared" si="109"/>
        <v/>
      </c>
      <c r="R296" s="44" t="str">
        <f t="shared" si="118"/>
        <v/>
      </c>
      <c r="S296" s="44" t="str">
        <f t="shared" si="110"/>
        <v/>
      </c>
      <c r="U296" s="42" t="str">
        <f t="shared" si="119"/>
        <v/>
      </c>
      <c r="V296" s="41" t="str">
        <f t="shared" si="120"/>
        <v/>
      </c>
      <c r="W296" s="41" t="str">
        <f t="shared" si="125"/>
        <v/>
      </c>
      <c r="Y296" s="35" t="str">
        <f t="shared" si="111"/>
        <v/>
      </c>
      <c r="Z296" s="34" t="str">
        <f t="shared" si="121"/>
        <v/>
      </c>
      <c r="AA296" s="34" t="str">
        <f t="shared" si="103"/>
        <v/>
      </c>
      <c r="AC296" s="36" t="str">
        <f t="shared" si="112"/>
        <v/>
      </c>
      <c r="AE296" s="37">
        <f t="shared" si="113"/>
        <v>0</v>
      </c>
      <c r="AG296" s="56" t="str">
        <f t="shared" si="122"/>
        <v/>
      </c>
      <c r="AH296" s="57" t="str">
        <f t="shared" si="114"/>
        <v/>
      </c>
      <c r="AI296" s="57" t="str">
        <f t="shared" si="123"/>
        <v/>
      </c>
      <c r="AJ296" s="57" t="str">
        <f t="shared" si="115"/>
        <v/>
      </c>
      <c r="AK296" s="57" t="str">
        <f t="shared" si="124"/>
        <v/>
      </c>
    </row>
    <row r="297" spans="1:37">
      <c r="A297" s="2" t="str">
        <f t="shared" si="116"/>
        <v/>
      </c>
      <c r="B297" s="10" t="str">
        <f t="shared" si="104"/>
        <v/>
      </c>
      <c r="C297" s="18" t="str">
        <f t="shared" si="105"/>
        <v/>
      </c>
      <c r="D297" s="4" t="str">
        <f t="shared" si="117"/>
        <v/>
      </c>
      <c r="E297" s="4" t="str">
        <f t="shared" si="106"/>
        <v/>
      </c>
      <c r="F297" s="4" t="str">
        <f t="shared" si="107"/>
        <v/>
      </c>
      <c r="G297" s="4" t="str">
        <f t="shared" si="108"/>
        <v/>
      </c>
      <c r="H297" s="4"/>
      <c r="I297" s="4"/>
      <c r="J297" s="4"/>
      <c r="K297" s="4"/>
      <c r="L297" s="4" t="str">
        <f>IF(A297="","",IF(ISERROR(VLOOKUP(A297,'pagos anticipados'!$A$2:$B$5,2,FALSE)),0,VLOOKUP(A297,'pagos anticipados'!$A$2:B295,2,FALSE)))</f>
        <v/>
      </c>
      <c r="M297" s="4" t="str">
        <f t="shared" si="101"/>
        <v/>
      </c>
      <c r="N297" s="1">
        <f t="shared" si="102"/>
        <v>0</v>
      </c>
      <c r="Q297" s="44" t="str">
        <f t="shared" si="109"/>
        <v/>
      </c>
      <c r="R297" s="44" t="str">
        <f t="shared" si="118"/>
        <v/>
      </c>
      <c r="S297" s="44" t="str">
        <f t="shared" si="110"/>
        <v/>
      </c>
      <c r="U297" s="42" t="str">
        <f t="shared" si="119"/>
        <v/>
      </c>
      <c r="V297" s="41" t="str">
        <f t="shared" si="120"/>
        <v/>
      </c>
      <c r="W297" s="41" t="str">
        <f t="shared" si="125"/>
        <v/>
      </c>
      <c r="Y297" s="35" t="str">
        <f t="shared" si="111"/>
        <v/>
      </c>
      <c r="Z297" s="34" t="str">
        <f t="shared" si="121"/>
        <v/>
      </c>
      <c r="AA297" s="34" t="str">
        <f t="shared" si="103"/>
        <v/>
      </c>
      <c r="AC297" s="36" t="str">
        <f t="shared" si="112"/>
        <v/>
      </c>
      <c r="AE297" s="37">
        <f t="shared" si="113"/>
        <v>0</v>
      </c>
      <c r="AG297" s="56" t="str">
        <f t="shared" si="122"/>
        <v/>
      </c>
      <c r="AH297" s="57" t="str">
        <f t="shared" si="114"/>
        <v/>
      </c>
      <c r="AI297" s="57" t="str">
        <f t="shared" si="123"/>
        <v/>
      </c>
      <c r="AJ297" s="57" t="str">
        <f t="shared" si="115"/>
        <v/>
      </c>
      <c r="AK297" s="57" t="str">
        <f t="shared" si="124"/>
        <v/>
      </c>
    </row>
    <row r="298" spans="1:37">
      <c r="A298" s="2" t="str">
        <f t="shared" si="116"/>
        <v/>
      </c>
      <c r="B298" s="10" t="str">
        <f t="shared" si="104"/>
        <v/>
      </c>
      <c r="C298" s="18" t="str">
        <f t="shared" si="105"/>
        <v/>
      </c>
      <c r="D298" s="4" t="str">
        <f t="shared" si="117"/>
        <v/>
      </c>
      <c r="E298" s="4" t="str">
        <f t="shared" si="106"/>
        <v/>
      </c>
      <c r="F298" s="4" t="str">
        <f t="shared" si="107"/>
        <v/>
      </c>
      <c r="G298" s="4" t="str">
        <f t="shared" si="108"/>
        <v/>
      </c>
      <c r="H298" s="4"/>
      <c r="I298" s="4"/>
      <c r="J298" s="4"/>
      <c r="K298" s="4"/>
      <c r="L298" s="4" t="str">
        <f>IF(A298="","",IF(ISERROR(VLOOKUP(A298,'pagos anticipados'!$A$2:$B$5,2,FALSE)),0,VLOOKUP(A298,'pagos anticipados'!$A$2:B296,2,FALSE)))</f>
        <v/>
      </c>
      <c r="M298" s="4" t="str">
        <f t="shared" si="101"/>
        <v/>
      </c>
      <c r="N298" s="1">
        <f t="shared" si="102"/>
        <v>0</v>
      </c>
      <c r="Q298" s="44" t="str">
        <f t="shared" si="109"/>
        <v/>
      </c>
      <c r="R298" s="44" t="str">
        <f t="shared" si="118"/>
        <v/>
      </c>
      <c r="S298" s="44" t="str">
        <f t="shared" si="110"/>
        <v/>
      </c>
      <c r="U298" s="42" t="str">
        <f t="shared" si="119"/>
        <v/>
      </c>
      <c r="V298" s="41" t="str">
        <f t="shared" si="120"/>
        <v/>
      </c>
      <c r="W298" s="41" t="str">
        <f t="shared" si="125"/>
        <v/>
      </c>
      <c r="Y298" s="35" t="str">
        <f t="shared" si="111"/>
        <v/>
      </c>
      <c r="Z298" s="34" t="str">
        <f t="shared" si="121"/>
        <v/>
      </c>
      <c r="AA298" s="34" t="str">
        <f t="shared" si="103"/>
        <v/>
      </c>
      <c r="AC298" s="36" t="str">
        <f t="shared" si="112"/>
        <v/>
      </c>
      <c r="AE298" s="37">
        <f t="shared" si="113"/>
        <v>0</v>
      </c>
      <c r="AG298" s="56" t="str">
        <f t="shared" si="122"/>
        <v/>
      </c>
      <c r="AH298" s="57" t="str">
        <f t="shared" si="114"/>
        <v/>
      </c>
      <c r="AI298" s="57" t="str">
        <f t="shared" si="123"/>
        <v/>
      </c>
      <c r="AJ298" s="57" t="str">
        <f t="shared" si="115"/>
        <v/>
      </c>
      <c r="AK298" s="57" t="str">
        <f t="shared" si="124"/>
        <v/>
      </c>
    </row>
    <row r="299" spans="1:37">
      <c r="A299" s="2" t="str">
        <f t="shared" si="116"/>
        <v/>
      </c>
      <c r="B299" s="10" t="str">
        <f t="shared" si="104"/>
        <v/>
      </c>
      <c r="C299" s="18" t="str">
        <f t="shared" si="105"/>
        <v/>
      </c>
      <c r="D299" s="4" t="str">
        <f t="shared" si="117"/>
        <v/>
      </c>
      <c r="E299" s="4" t="str">
        <f t="shared" si="106"/>
        <v/>
      </c>
      <c r="F299" s="4" t="str">
        <f t="shared" si="107"/>
        <v/>
      </c>
      <c r="G299" s="4" t="str">
        <f t="shared" si="108"/>
        <v/>
      </c>
      <c r="H299" s="4"/>
      <c r="I299" s="4"/>
      <c r="J299" s="4"/>
      <c r="K299" s="4"/>
      <c r="L299" s="4" t="str">
        <f>IF(A299="","",IF(ISERROR(VLOOKUP(A299,'pagos anticipados'!$A$2:$B$5,2,FALSE)),0,VLOOKUP(A299,'pagos anticipados'!$A$2:B297,2,FALSE)))</f>
        <v/>
      </c>
      <c r="M299" s="4" t="str">
        <f t="shared" si="101"/>
        <v/>
      </c>
      <c r="N299" s="1">
        <f t="shared" si="102"/>
        <v>0</v>
      </c>
      <c r="Q299" s="44" t="str">
        <f t="shared" si="109"/>
        <v/>
      </c>
      <c r="R299" s="44" t="str">
        <f t="shared" si="118"/>
        <v/>
      </c>
      <c r="S299" s="44" t="str">
        <f t="shared" si="110"/>
        <v/>
      </c>
      <c r="U299" s="42" t="str">
        <f t="shared" si="119"/>
        <v/>
      </c>
      <c r="V299" s="41" t="str">
        <f t="shared" si="120"/>
        <v/>
      </c>
      <c r="W299" s="41" t="str">
        <f t="shared" si="125"/>
        <v/>
      </c>
      <c r="Y299" s="35" t="str">
        <f t="shared" si="111"/>
        <v/>
      </c>
      <c r="Z299" s="34" t="str">
        <f t="shared" si="121"/>
        <v/>
      </c>
      <c r="AA299" s="34" t="str">
        <f t="shared" si="103"/>
        <v/>
      </c>
      <c r="AC299" s="36" t="str">
        <f t="shared" si="112"/>
        <v/>
      </c>
      <c r="AE299" s="37">
        <f t="shared" si="113"/>
        <v>0</v>
      </c>
      <c r="AG299" s="56" t="str">
        <f t="shared" si="122"/>
        <v/>
      </c>
      <c r="AH299" s="57" t="str">
        <f t="shared" si="114"/>
        <v/>
      </c>
      <c r="AI299" s="57" t="str">
        <f t="shared" si="123"/>
        <v/>
      </c>
      <c r="AJ299" s="57" t="str">
        <f t="shared" si="115"/>
        <v/>
      </c>
      <c r="AK299" s="57" t="str">
        <f t="shared" si="124"/>
        <v/>
      </c>
    </row>
    <row r="300" spans="1:37">
      <c r="A300" s="2" t="str">
        <f t="shared" si="116"/>
        <v/>
      </c>
      <c r="B300" s="10" t="str">
        <f t="shared" si="104"/>
        <v/>
      </c>
      <c r="C300" s="18" t="str">
        <f t="shared" si="105"/>
        <v/>
      </c>
      <c r="D300" s="4" t="str">
        <f t="shared" si="117"/>
        <v/>
      </c>
      <c r="E300" s="4" t="str">
        <f t="shared" si="106"/>
        <v/>
      </c>
      <c r="F300" s="4" t="str">
        <f t="shared" si="107"/>
        <v/>
      </c>
      <c r="G300" s="4" t="str">
        <f t="shared" si="108"/>
        <v/>
      </c>
      <c r="H300" s="4"/>
      <c r="I300" s="4"/>
      <c r="J300" s="4"/>
      <c r="K300" s="4"/>
      <c r="L300" s="4" t="str">
        <f>IF(A300="","",IF(ISERROR(VLOOKUP(A300,'pagos anticipados'!$A$2:$B$5,2,FALSE)),0,VLOOKUP(A300,'pagos anticipados'!$A$2:B298,2,FALSE)))</f>
        <v/>
      </c>
      <c r="M300" s="4" t="str">
        <f t="shared" si="101"/>
        <v/>
      </c>
      <c r="N300" s="1">
        <f t="shared" si="102"/>
        <v>0</v>
      </c>
      <c r="Q300" s="44" t="str">
        <f t="shared" si="109"/>
        <v/>
      </c>
      <c r="R300" s="44" t="str">
        <f t="shared" si="118"/>
        <v/>
      </c>
      <c r="S300" s="44" t="str">
        <f t="shared" si="110"/>
        <v/>
      </c>
      <c r="U300" s="42" t="str">
        <f t="shared" si="119"/>
        <v/>
      </c>
      <c r="V300" s="41" t="str">
        <f t="shared" si="120"/>
        <v/>
      </c>
      <c r="W300" s="41" t="str">
        <f t="shared" si="125"/>
        <v/>
      </c>
      <c r="Y300" s="35" t="str">
        <f t="shared" si="111"/>
        <v/>
      </c>
      <c r="Z300" s="34" t="str">
        <f t="shared" si="121"/>
        <v/>
      </c>
      <c r="AA300" s="34" t="str">
        <f t="shared" si="103"/>
        <v/>
      </c>
      <c r="AC300" s="36" t="str">
        <f t="shared" si="112"/>
        <v/>
      </c>
      <c r="AE300" s="37">
        <f t="shared" si="113"/>
        <v>0</v>
      </c>
      <c r="AG300" s="56" t="str">
        <f t="shared" si="122"/>
        <v/>
      </c>
      <c r="AH300" s="57" t="str">
        <f t="shared" si="114"/>
        <v/>
      </c>
      <c r="AI300" s="57" t="str">
        <f t="shared" si="123"/>
        <v/>
      </c>
      <c r="AJ300" s="57" t="str">
        <f t="shared" si="115"/>
        <v/>
      </c>
      <c r="AK300" s="57" t="str">
        <f t="shared" si="124"/>
        <v/>
      </c>
    </row>
    <row r="301" spans="1:37">
      <c r="A301" s="2" t="str">
        <f t="shared" si="116"/>
        <v/>
      </c>
      <c r="B301" s="10" t="str">
        <f t="shared" si="104"/>
        <v/>
      </c>
      <c r="C301" s="18" t="str">
        <f t="shared" si="105"/>
        <v/>
      </c>
      <c r="D301" s="4" t="str">
        <f t="shared" si="117"/>
        <v/>
      </c>
      <c r="E301" s="4" t="str">
        <f t="shared" si="106"/>
        <v/>
      </c>
      <c r="F301" s="4" t="str">
        <f t="shared" si="107"/>
        <v/>
      </c>
      <c r="G301" s="4" t="str">
        <f t="shared" si="108"/>
        <v/>
      </c>
      <c r="H301" s="4"/>
      <c r="I301" s="4"/>
      <c r="J301" s="4"/>
      <c r="K301" s="4"/>
      <c r="L301" s="4" t="str">
        <f>IF(A301="","",IF(ISERROR(VLOOKUP(A301,'pagos anticipados'!$A$2:$B$5,2,FALSE)),0,VLOOKUP(A301,'pagos anticipados'!$A$2:B299,2,FALSE)))</f>
        <v/>
      </c>
      <c r="M301" s="4" t="str">
        <f t="shared" si="101"/>
        <v/>
      </c>
      <c r="N301" s="1">
        <f t="shared" si="102"/>
        <v>0</v>
      </c>
      <c r="Q301" s="44" t="str">
        <f t="shared" si="109"/>
        <v/>
      </c>
      <c r="R301" s="44" t="str">
        <f t="shared" si="118"/>
        <v/>
      </c>
      <c r="S301" s="44" t="str">
        <f t="shared" si="110"/>
        <v/>
      </c>
      <c r="U301" s="42" t="str">
        <f t="shared" si="119"/>
        <v/>
      </c>
      <c r="V301" s="41" t="str">
        <f t="shared" si="120"/>
        <v/>
      </c>
      <c r="W301" s="41" t="str">
        <f t="shared" si="125"/>
        <v/>
      </c>
      <c r="Y301" s="35" t="str">
        <f t="shared" si="111"/>
        <v/>
      </c>
      <c r="Z301" s="34" t="str">
        <f t="shared" si="121"/>
        <v/>
      </c>
      <c r="AA301" s="34" t="str">
        <f t="shared" si="103"/>
        <v/>
      </c>
      <c r="AC301" s="36" t="str">
        <f t="shared" si="112"/>
        <v/>
      </c>
      <c r="AE301" s="37">
        <f t="shared" si="113"/>
        <v>0</v>
      </c>
      <c r="AG301" s="56" t="str">
        <f t="shared" si="122"/>
        <v/>
      </c>
      <c r="AH301" s="57" t="str">
        <f t="shared" si="114"/>
        <v/>
      </c>
      <c r="AI301" s="57" t="str">
        <f t="shared" si="123"/>
        <v/>
      </c>
      <c r="AJ301" s="57" t="str">
        <f t="shared" si="115"/>
        <v/>
      </c>
      <c r="AK301" s="57" t="str">
        <f t="shared" si="124"/>
        <v/>
      </c>
    </row>
    <row r="302" spans="1:37">
      <c r="A302" s="2" t="str">
        <f t="shared" si="116"/>
        <v/>
      </c>
      <c r="B302" s="10" t="str">
        <f t="shared" si="104"/>
        <v/>
      </c>
      <c r="C302" s="18" t="str">
        <f t="shared" si="105"/>
        <v/>
      </c>
      <c r="D302" s="4" t="str">
        <f t="shared" si="117"/>
        <v/>
      </c>
      <c r="E302" s="4" t="str">
        <f t="shared" si="106"/>
        <v/>
      </c>
      <c r="F302" s="4" t="str">
        <f t="shared" si="107"/>
        <v/>
      </c>
      <c r="G302" s="4" t="str">
        <f t="shared" si="108"/>
        <v/>
      </c>
      <c r="H302" s="4"/>
      <c r="I302" s="4"/>
      <c r="J302" s="4"/>
      <c r="K302" s="4"/>
      <c r="L302" s="4" t="str">
        <f>IF(A302="","",IF(ISERROR(VLOOKUP(A302,'pagos anticipados'!$A$2:$B$5,2,FALSE)),0,VLOOKUP(A302,'pagos anticipados'!$A$2:B300,2,FALSE)))</f>
        <v/>
      </c>
      <c r="M302" s="4" t="str">
        <f t="shared" si="101"/>
        <v/>
      </c>
      <c r="N302" s="1">
        <f t="shared" si="102"/>
        <v>0</v>
      </c>
      <c r="Q302" s="44" t="str">
        <f t="shared" si="109"/>
        <v/>
      </c>
      <c r="R302" s="44" t="str">
        <f t="shared" si="118"/>
        <v/>
      </c>
      <c r="S302" s="44" t="str">
        <f t="shared" si="110"/>
        <v/>
      </c>
      <c r="U302" s="42" t="str">
        <f t="shared" si="119"/>
        <v/>
      </c>
      <c r="V302" s="41" t="str">
        <f t="shared" si="120"/>
        <v/>
      </c>
      <c r="W302" s="41" t="str">
        <f t="shared" si="125"/>
        <v/>
      </c>
      <c r="Y302" s="35" t="str">
        <f t="shared" si="111"/>
        <v/>
      </c>
      <c r="Z302" s="34" t="str">
        <f t="shared" si="121"/>
        <v/>
      </c>
      <c r="AA302" s="34" t="str">
        <f t="shared" si="103"/>
        <v/>
      </c>
      <c r="AC302" s="36" t="str">
        <f t="shared" si="112"/>
        <v/>
      </c>
      <c r="AE302" s="37">
        <f t="shared" si="113"/>
        <v>0</v>
      </c>
      <c r="AG302" s="56" t="str">
        <f t="shared" si="122"/>
        <v/>
      </c>
      <c r="AH302" s="57" t="str">
        <f t="shared" si="114"/>
        <v/>
      </c>
      <c r="AI302" s="57" t="str">
        <f t="shared" si="123"/>
        <v/>
      </c>
      <c r="AJ302" s="57" t="str">
        <f t="shared" si="115"/>
        <v/>
      </c>
      <c r="AK302" s="57" t="str">
        <f t="shared" si="124"/>
        <v/>
      </c>
    </row>
    <row r="303" spans="1:37">
      <c r="A303" s="2" t="str">
        <f t="shared" si="116"/>
        <v/>
      </c>
      <c r="B303" s="10" t="str">
        <f t="shared" si="104"/>
        <v/>
      </c>
      <c r="C303" s="18" t="str">
        <f t="shared" si="105"/>
        <v/>
      </c>
      <c r="D303" s="4" t="str">
        <f t="shared" si="117"/>
        <v/>
      </c>
      <c r="E303" s="4" t="str">
        <f t="shared" si="106"/>
        <v/>
      </c>
      <c r="F303" s="4" t="str">
        <f t="shared" si="107"/>
        <v/>
      </c>
      <c r="G303" s="4" t="str">
        <f t="shared" si="108"/>
        <v/>
      </c>
      <c r="H303" s="4"/>
      <c r="I303" s="4"/>
      <c r="J303" s="4"/>
      <c r="K303" s="4"/>
      <c r="L303" s="4" t="str">
        <f>IF(A303="","",IF(ISERROR(VLOOKUP(A303,'pagos anticipados'!$A$2:$B$5,2,FALSE)),0,VLOOKUP(A303,'pagos anticipados'!$A$2:B301,2,FALSE)))</f>
        <v/>
      </c>
      <c r="M303" s="4" t="str">
        <f t="shared" si="101"/>
        <v/>
      </c>
      <c r="N303" s="1">
        <f t="shared" si="102"/>
        <v>0</v>
      </c>
      <c r="Q303" s="44" t="str">
        <f t="shared" si="109"/>
        <v/>
      </c>
      <c r="R303" s="44" t="str">
        <f t="shared" si="118"/>
        <v/>
      </c>
      <c r="S303" s="44" t="str">
        <f t="shared" si="110"/>
        <v/>
      </c>
      <c r="U303" s="42" t="str">
        <f t="shared" si="119"/>
        <v/>
      </c>
      <c r="V303" s="41" t="str">
        <f t="shared" si="120"/>
        <v/>
      </c>
      <c r="W303" s="41" t="str">
        <f t="shared" si="125"/>
        <v/>
      </c>
      <c r="Y303" s="35" t="str">
        <f t="shared" si="111"/>
        <v/>
      </c>
      <c r="Z303" s="34" t="str">
        <f t="shared" si="121"/>
        <v/>
      </c>
      <c r="AA303" s="34" t="str">
        <f t="shared" si="103"/>
        <v/>
      </c>
      <c r="AC303" s="36" t="str">
        <f t="shared" si="112"/>
        <v/>
      </c>
      <c r="AE303" s="37">
        <f t="shared" si="113"/>
        <v>0</v>
      </c>
      <c r="AG303" s="56" t="str">
        <f t="shared" si="122"/>
        <v/>
      </c>
      <c r="AH303" s="57" t="str">
        <f t="shared" si="114"/>
        <v/>
      </c>
      <c r="AI303" s="57" t="str">
        <f t="shared" si="123"/>
        <v/>
      </c>
      <c r="AJ303" s="57" t="str">
        <f t="shared" si="115"/>
        <v/>
      </c>
      <c r="AK303" s="57" t="str">
        <f t="shared" si="124"/>
        <v/>
      </c>
    </row>
    <row r="304" spans="1:37">
      <c r="A304" s="2" t="str">
        <f t="shared" si="116"/>
        <v/>
      </c>
      <c r="B304" s="10" t="str">
        <f t="shared" si="104"/>
        <v/>
      </c>
      <c r="C304" s="18" t="str">
        <f t="shared" si="105"/>
        <v/>
      </c>
      <c r="D304" s="4" t="str">
        <f t="shared" si="117"/>
        <v/>
      </c>
      <c r="E304" s="4" t="str">
        <f t="shared" si="106"/>
        <v/>
      </c>
      <c r="F304" s="4" t="str">
        <f t="shared" si="107"/>
        <v/>
      </c>
      <c r="G304" s="4" t="str">
        <f t="shared" si="108"/>
        <v/>
      </c>
      <c r="H304" s="4"/>
      <c r="I304" s="4"/>
      <c r="J304" s="4"/>
      <c r="K304" s="4"/>
      <c r="L304" s="4" t="str">
        <f>IF(A304="","",IF(ISERROR(VLOOKUP(A304,'pagos anticipados'!$A$2:$B$5,2,FALSE)),0,VLOOKUP(A304,'pagos anticipados'!$A$2:B302,2,FALSE)))</f>
        <v/>
      </c>
      <c r="M304" s="4" t="str">
        <f t="shared" si="101"/>
        <v/>
      </c>
      <c r="N304" s="1">
        <f t="shared" si="102"/>
        <v>0</v>
      </c>
      <c r="Q304" s="44" t="str">
        <f t="shared" si="109"/>
        <v/>
      </c>
      <c r="R304" s="44" t="str">
        <f t="shared" si="118"/>
        <v/>
      </c>
      <c r="S304" s="44" t="str">
        <f t="shared" si="110"/>
        <v/>
      </c>
      <c r="U304" s="42" t="str">
        <f t="shared" si="119"/>
        <v/>
      </c>
      <c r="V304" s="41" t="str">
        <f t="shared" si="120"/>
        <v/>
      </c>
      <c r="W304" s="41" t="str">
        <f t="shared" si="125"/>
        <v/>
      </c>
      <c r="Y304" s="35" t="str">
        <f t="shared" si="111"/>
        <v/>
      </c>
      <c r="Z304" s="34" t="str">
        <f t="shared" si="121"/>
        <v/>
      </c>
      <c r="AA304" s="34" t="str">
        <f t="shared" si="103"/>
        <v/>
      </c>
      <c r="AC304" s="36" t="str">
        <f t="shared" si="112"/>
        <v/>
      </c>
      <c r="AE304" s="37">
        <f t="shared" si="113"/>
        <v>0</v>
      </c>
      <c r="AG304" s="56" t="str">
        <f t="shared" si="122"/>
        <v/>
      </c>
      <c r="AH304" s="57" t="str">
        <f t="shared" si="114"/>
        <v/>
      </c>
      <c r="AI304" s="57" t="str">
        <f t="shared" si="123"/>
        <v/>
      </c>
      <c r="AJ304" s="57" t="str">
        <f t="shared" si="115"/>
        <v/>
      </c>
      <c r="AK304" s="57" t="str">
        <f t="shared" si="124"/>
        <v/>
      </c>
    </row>
    <row r="305" spans="1:37">
      <c r="A305" s="2" t="str">
        <f t="shared" si="116"/>
        <v/>
      </c>
      <c r="B305" s="10" t="str">
        <f t="shared" si="104"/>
        <v/>
      </c>
      <c r="C305" s="18" t="str">
        <f t="shared" si="105"/>
        <v/>
      </c>
      <c r="D305" s="4" t="str">
        <f t="shared" si="117"/>
        <v/>
      </c>
      <c r="E305" s="4" t="str">
        <f t="shared" si="106"/>
        <v/>
      </c>
      <c r="F305" s="4" t="str">
        <f t="shared" si="107"/>
        <v/>
      </c>
      <c r="G305" s="4" t="str">
        <f t="shared" si="108"/>
        <v/>
      </c>
      <c r="H305" s="4"/>
      <c r="I305" s="4"/>
      <c r="J305" s="4"/>
      <c r="K305" s="4"/>
      <c r="L305" s="4" t="str">
        <f>IF(A305="","",IF(ISERROR(VLOOKUP(A305,'pagos anticipados'!$A$2:$B$5,2,FALSE)),0,VLOOKUP(A305,'pagos anticipados'!$A$2:B303,2,FALSE)))</f>
        <v/>
      </c>
      <c r="M305" s="4" t="str">
        <f t="shared" si="101"/>
        <v/>
      </c>
      <c r="N305" s="1">
        <f t="shared" si="102"/>
        <v>0</v>
      </c>
      <c r="Q305" s="44" t="str">
        <f t="shared" si="109"/>
        <v/>
      </c>
      <c r="R305" s="44" t="str">
        <f t="shared" si="118"/>
        <v/>
      </c>
      <c r="S305" s="44" t="str">
        <f t="shared" si="110"/>
        <v/>
      </c>
      <c r="U305" s="42" t="str">
        <f t="shared" si="119"/>
        <v/>
      </c>
      <c r="V305" s="41" t="str">
        <f t="shared" si="120"/>
        <v/>
      </c>
      <c r="W305" s="41" t="str">
        <f t="shared" si="125"/>
        <v/>
      </c>
      <c r="Y305" s="35" t="str">
        <f t="shared" si="111"/>
        <v/>
      </c>
      <c r="Z305" s="34" t="str">
        <f t="shared" si="121"/>
        <v/>
      </c>
      <c r="AA305" s="34" t="str">
        <f t="shared" si="103"/>
        <v/>
      </c>
      <c r="AC305" s="36" t="str">
        <f t="shared" si="112"/>
        <v/>
      </c>
      <c r="AE305" s="37">
        <f t="shared" si="113"/>
        <v>0</v>
      </c>
      <c r="AG305" s="56" t="str">
        <f t="shared" si="122"/>
        <v/>
      </c>
      <c r="AH305" s="57" t="str">
        <f t="shared" si="114"/>
        <v/>
      </c>
      <c r="AI305" s="57" t="str">
        <f t="shared" si="123"/>
        <v/>
      </c>
      <c r="AJ305" s="57" t="str">
        <f t="shared" si="115"/>
        <v/>
      </c>
      <c r="AK305" s="57" t="str">
        <f t="shared" si="124"/>
        <v/>
      </c>
    </row>
    <row r="306" spans="1:37">
      <c r="A306" s="2" t="str">
        <f t="shared" si="116"/>
        <v/>
      </c>
      <c r="B306" s="10" t="str">
        <f t="shared" si="104"/>
        <v/>
      </c>
      <c r="C306" s="18" t="str">
        <f t="shared" si="105"/>
        <v/>
      </c>
      <c r="D306" s="4" t="str">
        <f t="shared" si="117"/>
        <v/>
      </c>
      <c r="E306" s="4" t="str">
        <f t="shared" si="106"/>
        <v/>
      </c>
      <c r="F306" s="4" t="str">
        <f t="shared" si="107"/>
        <v/>
      </c>
      <c r="G306" s="4" t="str">
        <f t="shared" si="108"/>
        <v/>
      </c>
      <c r="H306" s="4"/>
      <c r="I306" s="4"/>
      <c r="J306" s="4"/>
      <c r="K306" s="4"/>
      <c r="L306" s="4" t="str">
        <f>IF(A306="","",IF(ISERROR(VLOOKUP(A306,'pagos anticipados'!$A$2:$B$5,2,FALSE)),0,VLOOKUP(A306,'pagos anticipados'!$A$2:B304,2,FALSE)))</f>
        <v/>
      </c>
      <c r="M306" s="4" t="str">
        <f t="shared" si="101"/>
        <v/>
      </c>
      <c r="N306" s="1">
        <f t="shared" si="102"/>
        <v>0</v>
      </c>
      <c r="Q306" s="44" t="str">
        <f t="shared" si="109"/>
        <v/>
      </c>
      <c r="R306" s="44" t="str">
        <f t="shared" si="118"/>
        <v/>
      </c>
      <c r="S306" s="44" t="str">
        <f t="shared" si="110"/>
        <v/>
      </c>
      <c r="U306" s="42" t="str">
        <f t="shared" si="119"/>
        <v/>
      </c>
      <c r="V306" s="41" t="str">
        <f t="shared" si="120"/>
        <v/>
      </c>
      <c r="W306" s="41" t="str">
        <f t="shared" si="125"/>
        <v/>
      </c>
      <c r="Y306" s="35" t="str">
        <f t="shared" si="111"/>
        <v/>
      </c>
      <c r="Z306" s="34" t="str">
        <f t="shared" si="121"/>
        <v/>
      </c>
      <c r="AA306" s="34" t="str">
        <f t="shared" si="103"/>
        <v/>
      </c>
      <c r="AC306" s="36" t="str">
        <f t="shared" si="112"/>
        <v/>
      </c>
      <c r="AE306" s="37">
        <f t="shared" si="113"/>
        <v>0</v>
      </c>
      <c r="AG306" s="56" t="str">
        <f t="shared" si="122"/>
        <v/>
      </c>
      <c r="AH306" s="57" t="str">
        <f t="shared" si="114"/>
        <v/>
      </c>
      <c r="AI306" s="57" t="str">
        <f t="shared" si="123"/>
        <v/>
      </c>
      <c r="AJ306" s="57" t="str">
        <f t="shared" si="115"/>
        <v/>
      </c>
      <c r="AK306" s="57" t="str">
        <f t="shared" si="124"/>
        <v/>
      </c>
    </row>
    <row r="307" spans="1:37">
      <c r="A307" s="2" t="str">
        <f t="shared" si="116"/>
        <v/>
      </c>
      <c r="B307" s="10" t="str">
        <f t="shared" si="104"/>
        <v/>
      </c>
      <c r="C307" s="18" t="str">
        <f t="shared" si="105"/>
        <v/>
      </c>
      <c r="D307" s="4" t="str">
        <f t="shared" si="117"/>
        <v/>
      </c>
      <c r="E307" s="4" t="str">
        <f t="shared" si="106"/>
        <v/>
      </c>
      <c r="F307" s="4" t="str">
        <f t="shared" si="107"/>
        <v/>
      </c>
      <c r="G307" s="4" t="str">
        <f t="shared" si="108"/>
        <v/>
      </c>
      <c r="H307" s="4"/>
      <c r="I307" s="4"/>
      <c r="J307" s="4"/>
      <c r="K307" s="4"/>
      <c r="L307" s="4" t="str">
        <f>IF(A307="","",IF(ISERROR(VLOOKUP(A307,'pagos anticipados'!$A$2:$B$5,2,FALSE)),0,VLOOKUP(A307,'pagos anticipados'!$A$2:B305,2,FALSE)))</f>
        <v/>
      </c>
      <c r="M307" s="4" t="str">
        <f t="shared" si="101"/>
        <v/>
      </c>
      <c r="N307" s="1">
        <f t="shared" si="102"/>
        <v>0</v>
      </c>
      <c r="Q307" s="44" t="str">
        <f t="shared" si="109"/>
        <v/>
      </c>
      <c r="R307" s="44" t="str">
        <f t="shared" si="118"/>
        <v/>
      </c>
      <c r="S307" s="44" t="str">
        <f t="shared" si="110"/>
        <v/>
      </c>
      <c r="U307" s="42" t="str">
        <f t="shared" si="119"/>
        <v/>
      </c>
      <c r="V307" s="41" t="str">
        <f t="shared" si="120"/>
        <v/>
      </c>
      <c r="W307" s="41" t="str">
        <f t="shared" si="125"/>
        <v/>
      </c>
      <c r="Y307" s="35" t="str">
        <f t="shared" si="111"/>
        <v/>
      </c>
      <c r="Z307" s="34" t="str">
        <f t="shared" si="121"/>
        <v/>
      </c>
      <c r="AA307" s="34" t="str">
        <f t="shared" si="103"/>
        <v/>
      </c>
      <c r="AC307" s="36" t="str">
        <f t="shared" si="112"/>
        <v/>
      </c>
      <c r="AE307" s="37">
        <f t="shared" si="113"/>
        <v>0</v>
      </c>
      <c r="AG307" s="56" t="str">
        <f t="shared" si="122"/>
        <v/>
      </c>
      <c r="AH307" s="57" t="str">
        <f t="shared" si="114"/>
        <v/>
      </c>
      <c r="AI307" s="57" t="str">
        <f t="shared" si="123"/>
        <v/>
      </c>
      <c r="AJ307" s="57" t="str">
        <f t="shared" si="115"/>
        <v/>
      </c>
      <c r="AK307" s="57" t="str">
        <f t="shared" si="124"/>
        <v/>
      </c>
    </row>
    <row r="308" spans="1:37">
      <c r="A308" s="2" t="str">
        <f t="shared" si="116"/>
        <v/>
      </c>
      <c r="B308" s="10" t="str">
        <f t="shared" si="104"/>
        <v/>
      </c>
      <c r="C308" s="18" t="str">
        <f t="shared" si="105"/>
        <v/>
      </c>
      <c r="D308" s="4" t="str">
        <f t="shared" si="117"/>
        <v/>
      </c>
      <c r="E308" s="4" t="str">
        <f t="shared" si="106"/>
        <v/>
      </c>
      <c r="F308" s="4" t="str">
        <f t="shared" si="107"/>
        <v/>
      </c>
      <c r="G308" s="4" t="str">
        <f t="shared" si="108"/>
        <v/>
      </c>
      <c r="H308" s="4"/>
      <c r="I308" s="4"/>
      <c r="J308" s="4"/>
      <c r="K308" s="4"/>
      <c r="L308" s="4" t="str">
        <f>IF(A308="","",IF(ISERROR(VLOOKUP(A308,'pagos anticipados'!$A$2:$B$5,2,FALSE)),0,VLOOKUP(A308,'pagos anticipados'!$A$2:B306,2,FALSE)))</f>
        <v/>
      </c>
      <c r="M308" s="4" t="str">
        <f t="shared" si="101"/>
        <v/>
      </c>
      <c r="N308" s="1">
        <f t="shared" si="102"/>
        <v>0</v>
      </c>
      <c r="Q308" s="44" t="str">
        <f t="shared" si="109"/>
        <v/>
      </c>
      <c r="R308" s="44" t="str">
        <f t="shared" si="118"/>
        <v/>
      </c>
      <c r="S308" s="44" t="str">
        <f t="shared" si="110"/>
        <v/>
      </c>
      <c r="U308" s="42" t="str">
        <f t="shared" si="119"/>
        <v/>
      </c>
      <c r="V308" s="41" t="str">
        <f t="shared" si="120"/>
        <v/>
      </c>
      <c r="W308" s="41" t="str">
        <f t="shared" si="125"/>
        <v/>
      </c>
      <c r="Y308" s="35" t="str">
        <f t="shared" si="111"/>
        <v/>
      </c>
      <c r="Z308" s="34" t="str">
        <f t="shared" si="121"/>
        <v/>
      </c>
      <c r="AA308" s="34" t="str">
        <f t="shared" si="103"/>
        <v/>
      </c>
      <c r="AC308" s="36" t="str">
        <f t="shared" si="112"/>
        <v/>
      </c>
      <c r="AE308" s="37">
        <f t="shared" si="113"/>
        <v>0</v>
      </c>
      <c r="AG308" s="56" t="str">
        <f t="shared" si="122"/>
        <v/>
      </c>
      <c r="AH308" s="57" t="str">
        <f t="shared" si="114"/>
        <v/>
      </c>
      <c r="AI308" s="57" t="str">
        <f t="shared" si="123"/>
        <v/>
      </c>
      <c r="AJ308" s="57" t="str">
        <f t="shared" si="115"/>
        <v/>
      </c>
      <c r="AK308" s="57" t="str">
        <f t="shared" si="124"/>
        <v/>
      </c>
    </row>
    <row r="309" spans="1:37">
      <c r="A309" s="2" t="str">
        <f t="shared" si="116"/>
        <v/>
      </c>
      <c r="B309" s="10" t="str">
        <f t="shared" si="104"/>
        <v/>
      </c>
      <c r="C309" s="18" t="str">
        <f t="shared" si="105"/>
        <v/>
      </c>
      <c r="D309" s="4" t="str">
        <f t="shared" si="117"/>
        <v/>
      </c>
      <c r="E309" s="4" t="str">
        <f t="shared" si="106"/>
        <v/>
      </c>
      <c r="F309" s="4" t="str">
        <f t="shared" si="107"/>
        <v/>
      </c>
      <c r="G309" s="4" t="str">
        <f t="shared" si="108"/>
        <v/>
      </c>
      <c r="H309" s="4"/>
      <c r="I309" s="4"/>
      <c r="J309" s="4"/>
      <c r="K309" s="4"/>
      <c r="L309" s="4" t="str">
        <f>IF(A309="","",IF(ISERROR(VLOOKUP(A309,'pagos anticipados'!$A$2:$B$5,2,FALSE)),0,VLOOKUP(A309,'pagos anticipados'!$A$2:B307,2,FALSE)))</f>
        <v/>
      </c>
      <c r="M309" s="4" t="str">
        <f t="shared" si="101"/>
        <v/>
      </c>
      <c r="N309" s="1">
        <f t="shared" si="102"/>
        <v>0</v>
      </c>
      <c r="Q309" s="44" t="str">
        <f t="shared" si="109"/>
        <v/>
      </c>
      <c r="R309" s="44" t="str">
        <f t="shared" si="118"/>
        <v/>
      </c>
      <c r="S309" s="44" t="str">
        <f t="shared" si="110"/>
        <v/>
      </c>
      <c r="U309" s="42" t="str">
        <f t="shared" si="119"/>
        <v/>
      </c>
      <c r="V309" s="41" t="str">
        <f t="shared" si="120"/>
        <v/>
      </c>
      <c r="W309" s="41" t="str">
        <f t="shared" si="125"/>
        <v/>
      </c>
      <c r="Y309" s="35" t="str">
        <f t="shared" si="111"/>
        <v/>
      </c>
      <c r="Z309" s="34" t="str">
        <f t="shared" si="121"/>
        <v/>
      </c>
      <c r="AA309" s="34" t="str">
        <f t="shared" si="103"/>
        <v/>
      </c>
      <c r="AC309" s="36" t="str">
        <f t="shared" si="112"/>
        <v/>
      </c>
      <c r="AE309" s="37">
        <f t="shared" si="113"/>
        <v>0</v>
      </c>
      <c r="AG309" s="56" t="str">
        <f t="shared" si="122"/>
        <v/>
      </c>
      <c r="AH309" s="57" t="str">
        <f t="shared" si="114"/>
        <v/>
      </c>
      <c r="AI309" s="57" t="str">
        <f t="shared" si="123"/>
        <v/>
      </c>
      <c r="AJ309" s="57" t="str">
        <f t="shared" si="115"/>
        <v/>
      </c>
      <c r="AK309" s="57" t="str">
        <f t="shared" si="124"/>
        <v/>
      </c>
    </row>
    <row r="310" spans="1:37">
      <c r="A310" s="2" t="str">
        <f t="shared" si="116"/>
        <v/>
      </c>
      <c r="B310" s="10" t="str">
        <f t="shared" si="104"/>
        <v/>
      </c>
      <c r="C310" s="18" t="str">
        <f t="shared" si="105"/>
        <v/>
      </c>
      <c r="D310" s="4" t="str">
        <f t="shared" si="117"/>
        <v/>
      </c>
      <c r="E310" s="4" t="str">
        <f t="shared" si="106"/>
        <v/>
      </c>
      <c r="F310" s="4" t="str">
        <f t="shared" si="107"/>
        <v/>
      </c>
      <c r="G310" s="4" t="str">
        <f t="shared" si="108"/>
        <v/>
      </c>
      <c r="H310" s="4"/>
      <c r="I310" s="4"/>
      <c r="J310" s="4"/>
      <c r="K310" s="4"/>
      <c r="L310" s="4" t="str">
        <f>IF(A310="","",IF(ISERROR(VLOOKUP(A310,'pagos anticipados'!$A$2:$B$5,2,FALSE)),0,VLOOKUP(A310,'pagos anticipados'!$A$2:B308,2,FALSE)))</f>
        <v/>
      </c>
      <c r="M310" s="4" t="str">
        <f t="shared" si="101"/>
        <v/>
      </c>
      <c r="N310" s="1">
        <f t="shared" si="102"/>
        <v>0</v>
      </c>
      <c r="Q310" s="44" t="str">
        <f t="shared" si="109"/>
        <v/>
      </c>
      <c r="R310" s="44" t="str">
        <f t="shared" si="118"/>
        <v/>
      </c>
      <c r="S310" s="44" t="str">
        <f t="shared" si="110"/>
        <v/>
      </c>
      <c r="U310" s="42" t="str">
        <f t="shared" si="119"/>
        <v/>
      </c>
      <c r="V310" s="41" t="str">
        <f t="shared" si="120"/>
        <v/>
      </c>
      <c r="W310" s="41" t="str">
        <f t="shared" si="125"/>
        <v/>
      </c>
      <c r="Y310" s="35" t="str">
        <f t="shared" si="111"/>
        <v/>
      </c>
      <c r="Z310" s="34" t="str">
        <f t="shared" si="121"/>
        <v/>
      </c>
      <c r="AA310" s="34" t="str">
        <f t="shared" si="103"/>
        <v/>
      </c>
      <c r="AC310" s="36" t="str">
        <f t="shared" si="112"/>
        <v/>
      </c>
      <c r="AE310" s="37">
        <f t="shared" si="113"/>
        <v>0</v>
      </c>
      <c r="AG310" s="56" t="str">
        <f t="shared" si="122"/>
        <v/>
      </c>
      <c r="AH310" s="57" t="str">
        <f t="shared" si="114"/>
        <v/>
      </c>
      <c r="AI310" s="57" t="str">
        <f t="shared" si="123"/>
        <v/>
      </c>
      <c r="AJ310" s="57" t="str">
        <f t="shared" si="115"/>
        <v/>
      </c>
      <c r="AK310" s="57" t="str">
        <f t="shared" si="124"/>
        <v/>
      </c>
    </row>
    <row r="311" spans="1:37">
      <c r="A311" s="2" t="str">
        <f t="shared" si="116"/>
        <v/>
      </c>
      <c r="B311" s="10" t="str">
        <f t="shared" si="104"/>
        <v/>
      </c>
      <c r="C311" s="18" t="str">
        <f t="shared" si="105"/>
        <v/>
      </c>
      <c r="D311" s="4" t="str">
        <f t="shared" si="117"/>
        <v/>
      </c>
      <c r="E311" s="4" t="str">
        <f t="shared" si="106"/>
        <v/>
      </c>
      <c r="F311" s="4" t="str">
        <f t="shared" si="107"/>
        <v/>
      </c>
      <c r="G311" s="4" t="str">
        <f t="shared" si="108"/>
        <v/>
      </c>
      <c r="H311" s="4"/>
      <c r="I311" s="4"/>
      <c r="J311" s="4"/>
      <c r="K311" s="4"/>
      <c r="L311" s="4" t="str">
        <f>IF(A311="","",IF(ISERROR(VLOOKUP(A311,'pagos anticipados'!$A$2:$B$5,2,FALSE)),0,VLOOKUP(A311,'pagos anticipados'!$A$2:B309,2,FALSE)))</f>
        <v/>
      </c>
      <c r="M311" s="4" t="str">
        <f t="shared" si="101"/>
        <v/>
      </c>
      <c r="N311" s="1">
        <f t="shared" si="102"/>
        <v>0</v>
      </c>
      <c r="Q311" s="44" t="str">
        <f t="shared" si="109"/>
        <v/>
      </c>
      <c r="R311" s="44" t="str">
        <f t="shared" si="118"/>
        <v/>
      </c>
      <c r="S311" s="44" t="str">
        <f t="shared" si="110"/>
        <v/>
      </c>
      <c r="U311" s="42" t="str">
        <f t="shared" si="119"/>
        <v/>
      </c>
      <c r="V311" s="41" t="str">
        <f t="shared" si="120"/>
        <v/>
      </c>
      <c r="W311" s="41" t="str">
        <f t="shared" si="125"/>
        <v/>
      </c>
      <c r="Y311" s="35" t="str">
        <f t="shared" si="111"/>
        <v/>
      </c>
      <c r="Z311" s="34" t="str">
        <f t="shared" si="121"/>
        <v/>
      </c>
      <c r="AA311" s="34" t="str">
        <f t="shared" si="103"/>
        <v/>
      </c>
      <c r="AC311" s="36" t="str">
        <f t="shared" si="112"/>
        <v/>
      </c>
      <c r="AE311" s="37">
        <f t="shared" si="113"/>
        <v>0</v>
      </c>
      <c r="AG311" s="56" t="str">
        <f t="shared" si="122"/>
        <v/>
      </c>
      <c r="AH311" s="57" t="str">
        <f t="shared" si="114"/>
        <v/>
      </c>
      <c r="AI311" s="57" t="str">
        <f t="shared" si="123"/>
        <v/>
      </c>
      <c r="AJ311" s="57" t="str">
        <f t="shared" si="115"/>
        <v/>
      </c>
      <c r="AK311" s="57" t="str">
        <f t="shared" si="124"/>
        <v/>
      </c>
    </row>
    <row r="312" spans="1:37">
      <c r="A312" s="2" t="str">
        <f t="shared" si="116"/>
        <v/>
      </c>
      <c r="B312" s="10" t="str">
        <f t="shared" si="104"/>
        <v/>
      </c>
      <c r="C312" s="18" t="str">
        <f t="shared" si="105"/>
        <v/>
      </c>
      <c r="D312" s="4" t="str">
        <f t="shared" si="117"/>
        <v/>
      </c>
      <c r="E312" s="4" t="str">
        <f t="shared" si="106"/>
        <v/>
      </c>
      <c r="F312" s="4" t="str">
        <f t="shared" si="107"/>
        <v/>
      </c>
      <c r="G312" s="4" t="str">
        <f t="shared" si="108"/>
        <v/>
      </c>
      <c r="H312" s="4"/>
      <c r="I312" s="4"/>
      <c r="J312" s="4"/>
      <c r="K312" s="4"/>
      <c r="L312" s="4" t="str">
        <f>IF(A312="","",IF(ISERROR(VLOOKUP(A312,'pagos anticipados'!$A$2:$B$5,2,FALSE)),0,VLOOKUP(A312,'pagos anticipados'!$A$2:B310,2,FALSE)))</f>
        <v/>
      </c>
      <c r="M312" s="4" t="str">
        <f t="shared" si="101"/>
        <v/>
      </c>
      <c r="N312" s="1">
        <f t="shared" si="102"/>
        <v>0</v>
      </c>
      <c r="Q312" s="44" t="str">
        <f t="shared" si="109"/>
        <v/>
      </c>
      <c r="R312" s="44" t="str">
        <f t="shared" si="118"/>
        <v/>
      </c>
      <c r="S312" s="44" t="str">
        <f t="shared" si="110"/>
        <v/>
      </c>
      <c r="U312" s="42" t="str">
        <f t="shared" si="119"/>
        <v/>
      </c>
      <c r="V312" s="41" t="str">
        <f t="shared" si="120"/>
        <v/>
      </c>
      <c r="W312" s="41" t="str">
        <f t="shared" si="125"/>
        <v/>
      </c>
      <c r="Y312" s="35" t="str">
        <f t="shared" si="111"/>
        <v/>
      </c>
      <c r="Z312" s="34" t="str">
        <f t="shared" si="121"/>
        <v/>
      </c>
      <c r="AA312" s="34" t="str">
        <f t="shared" si="103"/>
        <v/>
      </c>
      <c r="AC312" s="36" t="str">
        <f t="shared" si="112"/>
        <v/>
      </c>
      <c r="AE312" s="37">
        <f t="shared" si="113"/>
        <v>0</v>
      </c>
      <c r="AG312" s="56" t="str">
        <f t="shared" si="122"/>
        <v/>
      </c>
      <c r="AH312" s="57" t="str">
        <f t="shared" si="114"/>
        <v/>
      </c>
      <c r="AI312" s="57" t="str">
        <f t="shared" si="123"/>
        <v/>
      </c>
      <c r="AJ312" s="57" t="str">
        <f t="shared" si="115"/>
        <v/>
      </c>
      <c r="AK312" s="57" t="str">
        <f t="shared" si="124"/>
        <v/>
      </c>
    </row>
    <row r="313" spans="1:37">
      <c r="A313" s="2" t="str">
        <f t="shared" si="116"/>
        <v/>
      </c>
      <c r="B313" s="10" t="str">
        <f t="shared" si="104"/>
        <v/>
      </c>
      <c r="C313" s="18" t="str">
        <f t="shared" si="105"/>
        <v/>
      </c>
      <c r="D313" s="4" t="str">
        <f t="shared" si="117"/>
        <v/>
      </c>
      <c r="E313" s="4" t="str">
        <f t="shared" si="106"/>
        <v/>
      </c>
      <c r="F313" s="4" t="str">
        <f t="shared" si="107"/>
        <v/>
      </c>
      <c r="G313" s="4" t="str">
        <f t="shared" si="108"/>
        <v/>
      </c>
      <c r="H313" s="4"/>
      <c r="I313" s="4"/>
      <c r="J313" s="4"/>
      <c r="K313" s="4"/>
      <c r="L313" s="4" t="str">
        <f>IF(A313="","",IF(ISERROR(VLOOKUP(A313,'pagos anticipados'!$A$2:$B$5,2,FALSE)),0,VLOOKUP(A313,'pagos anticipados'!$A$2:B311,2,FALSE)))</f>
        <v/>
      </c>
      <c r="M313" s="4" t="str">
        <f t="shared" si="101"/>
        <v/>
      </c>
      <c r="N313" s="1">
        <f t="shared" si="102"/>
        <v>0</v>
      </c>
      <c r="Q313" s="44" t="str">
        <f t="shared" si="109"/>
        <v/>
      </c>
      <c r="R313" s="44" t="str">
        <f t="shared" si="118"/>
        <v/>
      </c>
      <c r="S313" s="44" t="str">
        <f t="shared" si="110"/>
        <v/>
      </c>
      <c r="U313" s="42" t="str">
        <f t="shared" si="119"/>
        <v/>
      </c>
      <c r="V313" s="41" t="str">
        <f t="shared" si="120"/>
        <v/>
      </c>
      <c r="W313" s="41" t="str">
        <f t="shared" si="125"/>
        <v/>
      </c>
      <c r="Y313" s="35" t="str">
        <f t="shared" si="111"/>
        <v/>
      </c>
      <c r="Z313" s="34" t="str">
        <f t="shared" si="121"/>
        <v/>
      </c>
      <c r="AA313" s="34" t="str">
        <f t="shared" si="103"/>
        <v/>
      </c>
      <c r="AC313" s="36" t="str">
        <f t="shared" si="112"/>
        <v/>
      </c>
      <c r="AE313" s="37">
        <f t="shared" si="113"/>
        <v>0</v>
      </c>
      <c r="AG313" s="56" t="str">
        <f t="shared" si="122"/>
        <v/>
      </c>
      <c r="AH313" s="57" t="str">
        <f t="shared" si="114"/>
        <v/>
      </c>
      <c r="AI313" s="57" t="str">
        <f t="shared" si="123"/>
        <v/>
      </c>
      <c r="AJ313" s="57" t="str">
        <f t="shared" si="115"/>
        <v/>
      </c>
      <c r="AK313" s="57" t="str">
        <f t="shared" si="124"/>
        <v/>
      </c>
    </row>
    <row r="314" spans="1:37">
      <c r="A314" s="2" t="str">
        <f t="shared" si="116"/>
        <v/>
      </c>
      <c r="B314" s="10" t="str">
        <f t="shared" si="104"/>
        <v/>
      </c>
      <c r="C314" s="18" t="str">
        <f t="shared" si="105"/>
        <v/>
      </c>
      <c r="D314" s="4" t="str">
        <f t="shared" si="117"/>
        <v/>
      </c>
      <c r="E314" s="4" t="str">
        <f t="shared" si="106"/>
        <v/>
      </c>
      <c r="F314" s="4" t="str">
        <f t="shared" si="107"/>
        <v/>
      </c>
      <c r="G314" s="4" t="str">
        <f t="shared" si="108"/>
        <v/>
      </c>
      <c r="H314" s="4"/>
      <c r="I314" s="4"/>
      <c r="J314" s="4"/>
      <c r="K314" s="4"/>
      <c r="L314" s="4" t="str">
        <f>IF(A314="","",IF(ISERROR(VLOOKUP(A314,'pagos anticipados'!$A$2:$B$5,2,FALSE)),0,VLOOKUP(A314,'pagos anticipados'!$A$2:B312,2,FALSE)))</f>
        <v/>
      </c>
      <c r="M314" s="4" t="str">
        <f t="shared" si="101"/>
        <v/>
      </c>
      <c r="N314" s="1">
        <f t="shared" si="102"/>
        <v>0</v>
      </c>
      <c r="Q314" s="44" t="str">
        <f t="shared" si="109"/>
        <v/>
      </c>
      <c r="R314" s="44" t="str">
        <f t="shared" si="118"/>
        <v/>
      </c>
      <c r="S314" s="44" t="str">
        <f t="shared" si="110"/>
        <v/>
      </c>
      <c r="U314" s="42" t="str">
        <f t="shared" si="119"/>
        <v/>
      </c>
      <c r="V314" s="41" t="str">
        <f t="shared" si="120"/>
        <v/>
      </c>
      <c r="W314" s="41" t="str">
        <f t="shared" si="125"/>
        <v/>
      </c>
      <c r="Y314" s="35" t="str">
        <f t="shared" si="111"/>
        <v/>
      </c>
      <c r="Z314" s="34" t="str">
        <f t="shared" si="121"/>
        <v/>
      </c>
      <c r="AA314" s="34" t="str">
        <f t="shared" si="103"/>
        <v/>
      </c>
      <c r="AC314" s="36" t="str">
        <f t="shared" si="112"/>
        <v/>
      </c>
      <c r="AE314" s="37">
        <f t="shared" si="113"/>
        <v>0</v>
      </c>
      <c r="AG314" s="56" t="str">
        <f t="shared" si="122"/>
        <v/>
      </c>
      <c r="AH314" s="57" t="str">
        <f t="shared" si="114"/>
        <v/>
      </c>
      <c r="AI314" s="57" t="str">
        <f t="shared" si="123"/>
        <v/>
      </c>
      <c r="AJ314" s="57" t="str">
        <f t="shared" si="115"/>
        <v/>
      </c>
      <c r="AK314" s="57" t="str">
        <f t="shared" si="124"/>
        <v/>
      </c>
    </row>
    <row r="315" spans="1:37">
      <c r="A315" s="2" t="str">
        <f t="shared" si="116"/>
        <v/>
      </c>
      <c r="B315" s="10" t="str">
        <f t="shared" si="104"/>
        <v/>
      </c>
      <c r="C315" s="18" t="str">
        <f t="shared" si="105"/>
        <v/>
      </c>
      <c r="D315" s="4" t="str">
        <f t="shared" si="117"/>
        <v/>
      </c>
      <c r="E315" s="4" t="str">
        <f t="shared" si="106"/>
        <v/>
      </c>
      <c r="F315" s="4" t="str">
        <f t="shared" si="107"/>
        <v/>
      </c>
      <c r="G315" s="4" t="str">
        <f t="shared" si="108"/>
        <v/>
      </c>
      <c r="H315" s="4"/>
      <c r="I315" s="4"/>
      <c r="J315" s="4"/>
      <c r="K315" s="4"/>
      <c r="L315" s="4" t="str">
        <f>IF(A315="","",IF(ISERROR(VLOOKUP(A315,'pagos anticipados'!$A$2:$B$5,2,FALSE)),0,VLOOKUP(A315,'pagos anticipados'!$A$2:B313,2,FALSE)))</f>
        <v/>
      </c>
      <c r="M315" s="4" t="str">
        <f t="shared" si="101"/>
        <v/>
      </c>
      <c r="N315" s="1">
        <f t="shared" si="102"/>
        <v>0</v>
      </c>
      <c r="Q315" s="44" t="str">
        <f t="shared" si="109"/>
        <v/>
      </c>
      <c r="R315" s="44" t="str">
        <f t="shared" si="118"/>
        <v/>
      </c>
      <c r="S315" s="44" t="str">
        <f t="shared" si="110"/>
        <v/>
      </c>
      <c r="U315" s="42" t="str">
        <f t="shared" si="119"/>
        <v/>
      </c>
      <c r="V315" s="41" t="str">
        <f t="shared" si="120"/>
        <v/>
      </c>
      <c r="W315" s="41" t="str">
        <f t="shared" si="125"/>
        <v/>
      </c>
      <c r="Y315" s="35" t="str">
        <f t="shared" si="111"/>
        <v/>
      </c>
      <c r="Z315" s="34" t="str">
        <f t="shared" si="121"/>
        <v/>
      </c>
      <c r="AA315" s="34" t="str">
        <f t="shared" si="103"/>
        <v/>
      </c>
      <c r="AC315" s="36" t="str">
        <f t="shared" si="112"/>
        <v/>
      </c>
      <c r="AE315" s="37">
        <f t="shared" si="113"/>
        <v>0</v>
      </c>
      <c r="AG315" s="56" t="str">
        <f t="shared" si="122"/>
        <v/>
      </c>
      <c r="AH315" s="57" t="str">
        <f t="shared" si="114"/>
        <v/>
      </c>
      <c r="AI315" s="57" t="str">
        <f t="shared" si="123"/>
        <v/>
      </c>
      <c r="AJ315" s="57" t="str">
        <f t="shared" si="115"/>
        <v/>
      </c>
      <c r="AK315" s="57" t="str">
        <f t="shared" si="124"/>
        <v/>
      </c>
    </row>
    <row r="316" spans="1:37">
      <c r="A316" s="2" t="str">
        <f t="shared" si="116"/>
        <v/>
      </c>
      <c r="B316" s="10" t="str">
        <f t="shared" si="104"/>
        <v/>
      </c>
      <c r="C316" s="18" t="str">
        <f t="shared" si="105"/>
        <v/>
      </c>
      <c r="D316" s="4" t="str">
        <f t="shared" si="117"/>
        <v/>
      </c>
      <c r="E316" s="4" t="str">
        <f t="shared" si="106"/>
        <v/>
      </c>
      <c r="F316" s="4" t="str">
        <f t="shared" si="107"/>
        <v/>
      </c>
      <c r="G316" s="4" t="str">
        <f t="shared" si="108"/>
        <v/>
      </c>
      <c r="H316" s="4"/>
      <c r="I316" s="4"/>
      <c r="J316" s="4"/>
      <c r="K316" s="4"/>
      <c r="L316" s="4" t="str">
        <f>IF(A316="","",IF(ISERROR(VLOOKUP(A316,'pagos anticipados'!$A$2:$B$5,2,FALSE)),0,VLOOKUP(A316,'pagos anticipados'!$A$2:B314,2,FALSE)))</f>
        <v/>
      </c>
      <c r="M316" s="4" t="str">
        <f t="shared" si="101"/>
        <v/>
      </c>
      <c r="N316" s="1">
        <f t="shared" si="102"/>
        <v>0</v>
      </c>
      <c r="Q316" s="44" t="str">
        <f t="shared" si="109"/>
        <v/>
      </c>
      <c r="R316" s="44" t="str">
        <f t="shared" si="118"/>
        <v/>
      </c>
      <c r="S316" s="44" t="str">
        <f t="shared" si="110"/>
        <v/>
      </c>
      <c r="U316" s="42" t="str">
        <f t="shared" si="119"/>
        <v/>
      </c>
      <c r="V316" s="41" t="str">
        <f t="shared" si="120"/>
        <v/>
      </c>
      <c r="W316" s="41" t="str">
        <f t="shared" si="125"/>
        <v/>
      </c>
      <c r="Y316" s="35" t="str">
        <f t="shared" si="111"/>
        <v/>
      </c>
      <c r="Z316" s="34" t="str">
        <f t="shared" si="121"/>
        <v/>
      </c>
      <c r="AA316" s="34" t="str">
        <f t="shared" si="103"/>
        <v/>
      </c>
      <c r="AC316" s="36" t="str">
        <f t="shared" si="112"/>
        <v/>
      </c>
      <c r="AE316" s="37">
        <f t="shared" si="113"/>
        <v>0</v>
      </c>
      <c r="AG316" s="56" t="str">
        <f t="shared" si="122"/>
        <v/>
      </c>
      <c r="AH316" s="57" t="str">
        <f t="shared" si="114"/>
        <v/>
      </c>
      <c r="AI316" s="57" t="str">
        <f t="shared" si="123"/>
        <v/>
      </c>
      <c r="AJ316" s="57" t="str">
        <f t="shared" si="115"/>
        <v/>
      </c>
      <c r="AK316" s="57" t="str">
        <f t="shared" si="124"/>
        <v/>
      </c>
    </row>
    <row r="317" spans="1:37">
      <c r="A317" s="2" t="str">
        <f t="shared" si="116"/>
        <v/>
      </c>
      <c r="B317" s="10" t="str">
        <f t="shared" si="104"/>
        <v/>
      </c>
      <c r="C317" s="18" t="str">
        <f t="shared" si="105"/>
        <v/>
      </c>
      <c r="D317" s="4" t="str">
        <f t="shared" si="117"/>
        <v/>
      </c>
      <c r="E317" s="4" t="str">
        <f t="shared" si="106"/>
        <v/>
      </c>
      <c r="F317" s="4" t="str">
        <f t="shared" si="107"/>
        <v/>
      </c>
      <c r="G317" s="4" t="str">
        <f t="shared" si="108"/>
        <v/>
      </c>
      <c r="H317" s="4"/>
      <c r="I317" s="4"/>
      <c r="J317" s="4"/>
      <c r="K317" s="4"/>
      <c r="L317" s="4" t="str">
        <f>IF(A317="","",IF(ISERROR(VLOOKUP(A317,'pagos anticipados'!$A$2:$B$5,2,FALSE)),0,VLOOKUP(A317,'pagos anticipados'!$A$2:B315,2,FALSE)))</f>
        <v/>
      </c>
      <c r="M317" s="4" t="str">
        <f t="shared" si="101"/>
        <v/>
      </c>
      <c r="N317" s="1">
        <f t="shared" si="102"/>
        <v>0</v>
      </c>
      <c r="Q317" s="44" t="str">
        <f t="shared" si="109"/>
        <v/>
      </c>
      <c r="R317" s="44" t="str">
        <f t="shared" si="118"/>
        <v/>
      </c>
      <c r="S317" s="44" t="str">
        <f t="shared" si="110"/>
        <v/>
      </c>
      <c r="U317" s="42" t="str">
        <f t="shared" si="119"/>
        <v/>
      </c>
      <c r="V317" s="41" t="str">
        <f t="shared" si="120"/>
        <v/>
      </c>
      <c r="W317" s="41" t="str">
        <f t="shared" si="125"/>
        <v/>
      </c>
      <c r="Y317" s="35" t="str">
        <f t="shared" si="111"/>
        <v/>
      </c>
      <c r="Z317" s="34" t="str">
        <f t="shared" si="121"/>
        <v/>
      </c>
      <c r="AA317" s="34" t="str">
        <f t="shared" si="103"/>
        <v/>
      </c>
      <c r="AC317" s="36" t="str">
        <f t="shared" si="112"/>
        <v/>
      </c>
      <c r="AE317" s="37">
        <f t="shared" si="113"/>
        <v>0</v>
      </c>
      <c r="AG317" s="56" t="str">
        <f t="shared" si="122"/>
        <v/>
      </c>
      <c r="AH317" s="57" t="str">
        <f t="shared" si="114"/>
        <v/>
      </c>
      <c r="AI317" s="57" t="str">
        <f t="shared" si="123"/>
        <v/>
      </c>
      <c r="AJ317" s="57" t="str">
        <f t="shared" si="115"/>
        <v/>
      </c>
      <c r="AK317" s="57" t="str">
        <f t="shared" si="124"/>
        <v/>
      </c>
    </row>
    <row r="318" spans="1:37">
      <c r="A318" s="2" t="str">
        <f t="shared" si="116"/>
        <v/>
      </c>
      <c r="B318" s="10" t="str">
        <f t="shared" si="104"/>
        <v/>
      </c>
      <c r="C318" s="18" t="str">
        <f t="shared" si="105"/>
        <v/>
      </c>
      <c r="D318" s="4" t="str">
        <f t="shared" si="117"/>
        <v/>
      </c>
      <c r="E318" s="4" t="str">
        <f t="shared" si="106"/>
        <v/>
      </c>
      <c r="F318" s="4" t="str">
        <f t="shared" si="107"/>
        <v/>
      </c>
      <c r="G318" s="4" t="str">
        <f t="shared" si="108"/>
        <v/>
      </c>
      <c r="H318" s="4"/>
      <c r="I318" s="4"/>
      <c r="J318" s="4"/>
      <c r="K318" s="4"/>
      <c r="L318" s="4" t="str">
        <f>IF(A318="","",IF(ISERROR(VLOOKUP(A318,'pagos anticipados'!$A$2:$B$5,2,FALSE)),0,VLOOKUP(A318,'pagos anticipados'!$A$2:B316,2,FALSE)))</f>
        <v/>
      </c>
      <c r="M318" s="4" t="str">
        <f t="shared" si="101"/>
        <v/>
      </c>
      <c r="N318" s="1">
        <f t="shared" si="102"/>
        <v>0</v>
      </c>
      <c r="Q318" s="44" t="str">
        <f t="shared" si="109"/>
        <v/>
      </c>
      <c r="R318" s="44" t="str">
        <f t="shared" si="118"/>
        <v/>
      </c>
      <c r="S318" s="44" t="str">
        <f t="shared" si="110"/>
        <v/>
      </c>
      <c r="U318" s="42" t="str">
        <f t="shared" si="119"/>
        <v/>
      </c>
      <c r="V318" s="41" t="str">
        <f t="shared" si="120"/>
        <v/>
      </c>
      <c r="W318" s="41" t="str">
        <f t="shared" si="125"/>
        <v/>
      </c>
      <c r="Y318" s="35" t="str">
        <f t="shared" si="111"/>
        <v/>
      </c>
      <c r="Z318" s="34" t="str">
        <f t="shared" si="121"/>
        <v/>
      </c>
      <c r="AA318" s="34" t="str">
        <f t="shared" si="103"/>
        <v/>
      </c>
      <c r="AC318" s="36" t="str">
        <f t="shared" si="112"/>
        <v/>
      </c>
      <c r="AE318" s="37">
        <f t="shared" si="113"/>
        <v>0</v>
      </c>
      <c r="AG318" s="56" t="str">
        <f t="shared" si="122"/>
        <v/>
      </c>
      <c r="AH318" s="57" t="str">
        <f t="shared" si="114"/>
        <v/>
      </c>
      <c r="AI318" s="57" t="str">
        <f t="shared" si="123"/>
        <v/>
      </c>
      <c r="AJ318" s="57" t="str">
        <f t="shared" si="115"/>
        <v/>
      </c>
      <c r="AK318" s="57" t="str">
        <f t="shared" si="124"/>
        <v/>
      </c>
    </row>
    <row r="319" spans="1:37">
      <c r="A319" s="2" t="str">
        <f t="shared" si="116"/>
        <v/>
      </c>
      <c r="B319" s="10" t="str">
        <f t="shared" si="104"/>
        <v/>
      </c>
      <c r="C319" s="18" t="str">
        <f t="shared" si="105"/>
        <v/>
      </c>
      <c r="D319" s="4" t="str">
        <f t="shared" si="117"/>
        <v/>
      </c>
      <c r="E319" s="4" t="str">
        <f t="shared" si="106"/>
        <v/>
      </c>
      <c r="F319" s="4" t="str">
        <f t="shared" si="107"/>
        <v/>
      </c>
      <c r="G319" s="4" t="str">
        <f t="shared" si="108"/>
        <v/>
      </c>
      <c r="H319" s="4"/>
      <c r="I319" s="4"/>
      <c r="J319" s="4"/>
      <c r="K319" s="4"/>
      <c r="L319" s="4" t="str">
        <f>IF(A319="","",IF(ISERROR(VLOOKUP(A319,'pagos anticipados'!$A$2:$B$5,2,FALSE)),0,VLOOKUP(A319,'pagos anticipados'!$A$2:B317,2,FALSE)))</f>
        <v/>
      </c>
      <c r="M319" s="4" t="str">
        <f t="shared" si="101"/>
        <v/>
      </c>
      <c r="N319" s="1">
        <f t="shared" si="102"/>
        <v>0</v>
      </c>
      <c r="Q319" s="44" t="str">
        <f t="shared" si="109"/>
        <v/>
      </c>
      <c r="R319" s="44" t="str">
        <f t="shared" si="118"/>
        <v/>
      </c>
      <c r="S319" s="44" t="str">
        <f t="shared" si="110"/>
        <v/>
      </c>
      <c r="U319" s="42" t="str">
        <f t="shared" si="119"/>
        <v/>
      </c>
      <c r="V319" s="41" t="str">
        <f t="shared" si="120"/>
        <v/>
      </c>
      <c r="W319" s="41" t="str">
        <f t="shared" si="125"/>
        <v/>
      </c>
      <c r="Y319" s="35" t="str">
        <f t="shared" si="111"/>
        <v/>
      </c>
      <c r="Z319" s="34" t="str">
        <f t="shared" si="121"/>
        <v/>
      </c>
      <c r="AA319" s="34" t="str">
        <f t="shared" si="103"/>
        <v/>
      </c>
      <c r="AC319" s="36" t="str">
        <f t="shared" si="112"/>
        <v/>
      </c>
      <c r="AE319" s="37">
        <f t="shared" si="113"/>
        <v>0</v>
      </c>
      <c r="AG319" s="56" t="str">
        <f t="shared" si="122"/>
        <v/>
      </c>
      <c r="AH319" s="57" t="str">
        <f t="shared" si="114"/>
        <v/>
      </c>
      <c r="AI319" s="57" t="str">
        <f t="shared" si="123"/>
        <v/>
      </c>
      <c r="AJ319" s="57" t="str">
        <f t="shared" si="115"/>
        <v/>
      </c>
      <c r="AK319" s="57" t="str">
        <f t="shared" si="124"/>
        <v/>
      </c>
    </row>
    <row r="320" spans="1:37">
      <c r="A320" s="2" t="str">
        <f t="shared" si="116"/>
        <v/>
      </c>
      <c r="B320" s="10" t="str">
        <f t="shared" si="104"/>
        <v/>
      </c>
      <c r="C320" s="18" t="str">
        <f t="shared" si="105"/>
        <v/>
      </c>
      <c r="D320" s="4" t="str">
        <f t="shared" si="117"/>
        <v/>
      </c>
      <c r="E320" s="4" t="str">
        <f t="shared" si="106"/>
        <v/>
      </c>
      <c r="F320" s="4" t="str">
        <f t="shared" si="107"/>
        <v/>
      </c>
      <c r="G320" s="4" t="str">
        <f t="shared" si="108"/>
        <v/>
      </c>
      <c r="H320" s="4"/>
      <c r="I320" s="4"/>
      <c r="J320" s="4"/>
      <c r="K320" s="4"/>
      <c r="L320" s="4" t="str">
        <f>IF(A320="","",IF(ISERROR(VLOOKUP(A320,'pagos anticipados'!$A$2:$B$5,2,FALSE)),0,VLOOKUP(A320,'pagos anticipados'!$A$2:B318,2,FALSE)))</f>
        <v/>
      </c>
      <c r="M320" s="4" t="str">
        <f t="shared" si="101"/>
        <v/>
      </c>
      <c r="N320" s="1">
        <f t="shared" si="102"/>
        <v>0</v>
      </c>
      <c r="Q320" s="44" t="str">
        <f t="shared" si="109"/>
        <v/>
      </c>
      <c r="R320" s="44" t="str">
        <f t="shared" si="118"/>
        <v/>
      </c>
      <c r="S320" s="44" t="str">
        <f t="shared" si="110"/>
        <v/>
      </c>
      <c r="U320" s="42" t="str">
        <f t="shared" si="119"/>
        <v/>
      </c>
      <c r="V320" s="41" t="str">
        <f t="shared" si="120"/>
        <v/>
      </c>
      <c r="W320" s="41" t="str">
        <f t="shared" si="125"/>
        <v/>
      </c>
      <c r="Y320" s="35" t="str">
        <f t="shared" si="111"/>
        <v/>
      </c>
      <c r="Z320" s="34" t="str">
        <f t="shared" si="121"/>
        <v/>
      </c>
      <c r="AA320" s="34" t="str">
        <f t="shared" si="103"/>
        <v/>
      </c>
      <c r="AC320" s="36" t="str">
        <f t="shared" si="112"/>
        <v/>
      </c>
      <c r="AE320" s="37">
        <f t="shared" si="113"/>
        <v>0</v>
      </c>
      <c r="AG320" s="56" t="str">
        <f t="shared" si="122"/>
        <v/>
      </c>
      <c r="AH320" s="57" t="str">
        <f t="shared" si="114"/>
        <v/>
      </c>
      <c r="AI320" s="57" t="str">
        <f t="shared" si="123"/>
        <v/>
      </c>
      <c r="AJ320" s="57" t="str">
        <f t="shared" si="115"/>
        <v/>
      </c>
      <c r="AK320" s="57" t="str">
        <f t="shared" si="124"/>
        <v/>
      </c>
    </row>
    <row r="321" spans="1:37">
      <c r="A321" s="2" t="str">
        <f t="shared" si="116"/>
        <v/>
      </c>
      <c r="B321" s="10" t="str">
        <f t="shared" si="104"/>
        <v/>
      </c>
      <c r="C321" s="18" t="str">
        <f t="shared" si="105"/>
        <v/>
      </c>
      <c r="D321" s="4" t="str">
        <f t="shared" si="117"/>
        <v/>
      </c>
      <c r="E321" s="4" t="str">
        <f t="shared" si="106"/>
        <v/>
      </c>
      <c r="F321" s="4" t="str">
        <f t="shared" si="107"/>
        <v/>
      </c>
      <c r="G321" s="4" t="str">
        <f t="shared" si="108"/>
        <v/>
      </c>
      <c r="H321" s="4"/>
      <c r="I321" s="4"/>
      <c r="J321" s="4"/>
      <c r="K321" s="4"/>
      <c r="L321" s="4" t="str">
        <f>IF(A321="","",IF(ISERROR(VLOOKUP(A321,'pagos anticipados'!$A$2:$B$5,2,FALSE)),0,VLOOKUP(A321,'pagos anticipados'!$A$2:B319,2,FALSE)))</f>
        <v/>
      </c>
      <c r="M321" s="4" t="str">
        <f t="shared" si="101"/>
        <v/>
      </c>
      <c r="N321" s="1">
        <f t="shared" si="102"/>
        <v>0</v>
      </c>
      <c r="Q321" s="44" t="str">
        <f t="shared" si="109"/>
        <v/>
      </c>
      <c r="R321" s="44" t="str">
        <f t="shared" si="118"/>
        <v/>
      </c>
      <c r="S321" s="44" t="str">
        <f t="shared" si="110"/>
        <v/>
      </c>
      <c r="U321" s="42" t="str">
        <f t="shared" si="119"/>
        <v/>
      </c>
      <c r="V321" s="41" t="str">
        <f t="shared" si="120"/>
        <v/>
      </c>
      <c r="W321" s="41" t="str">
        <f t="shared" si="125"/>
        <v/>
      </c>
      <c r="Y321" s="35" t="str">
        <f t="shared" si="111"/>
        <v/>
      </c>
      <c r="Z321" s="34" t="str">
        <f t="shared" si="121"/>
        <v/>
      </c>
      <c r="AA321" s="34" t="str">
        <f t="shared" si="103"/>
        <v/>
      </c>
      <c r="AC321" s="36" t="str">
        <f t="shared" si="112"/>
        <v/>
      </c>
      <c r="AE321" s="37">
        <f t="shared" si="113"/>
        <v>0</v>
      </c>
      <c r="AG321" s="56" t="str">
        <f t="shared" si="122"/>
        <v/>
      </c>
      <c r="AH321" s="57" t="str">
        <f t="shared" si="114"/>
        <v/>
      </c>
      <c r="AI321" s="57" t="str">
        <f t="shared" si="123"/>
        <v/>
      </c>
      <c r="AJ321" s="57" t="str">
        <f t="shared" si="115"/>
        <v/>
      </c>
      <c r="AK321" s="57" t="str">
        <f t="shared" si="124"/>
        <v/>
      </c>
    </row>
    <row r="322" spans="1:37">
      <c r="A322" s="2" t="str">
        <f t="shared" si="116"/>
        <v/>
      </c>
      <c r="B322" s="10" t="str">
        <f t="shared" si="104"/>
        <v/>
      </c>
      <c r="C322" s="18" t="str">
        <f t="shared" si="105"/>
        <v/>
      </c>
      <c r="D322" s="4" t="str">
        <f t="shared" si="117"/>
        <v/>
      </c>
      <c r="E322" s="4" t="str">
        <f t="shared" si="106"/>
        <v/>
      </c>
      <c r="F322" s="4" t="str">
        <f t="shared" si="107"/>
        <v/>
      </c>
      <c r="G322" s="4" t="str">
        <f t="shared" si="108"/>
        <v/>
      </c>
      <c r="H322" s="4"/>
      <c r="I322" s="4"/>
      <c r="J322" s="4"/>
      <c r="K322" s="4"/>
      <c r="L322" s="4" t="str">
        <f>IF(A322="","",IF(ISERROR(VLOOKUP(A322,'pagos anticipados'!$A$2:$B$5,2,FALSE)),0,VLOOKUP(A322,'pagos anticipados'!$A$2:B320,2,FALSE)))</f>
        <v/>
      </c>
      <c r="M322" s="4" t="str">
        <f t="shared" si="101"/>
        <v/>
      </c>
      <c r="N322" s="1">
        <f t="shared" si="102"/>
        <v>0</v>
      </c>
      <c r="Q322" s="44" t="str">
        <f t="shared" si="109"/>
        <v/>
      </c>
      <c r="R322" s="44" t="str">
        <f t="shared" si="118"/>
        <v/>
      </c>
      <c r="S322" s="44" t="str">
        <f t="shared" si="110"/>
        <v/>
      </c>
      <c r="U322" s="42" t="str">
        <f t="shared" si="119"/>
        <v/>
      </c>
      <c r="V322" s="41" t="str">
        <f t="shared" si="120"/>
        <v/>
      </c>
      <c r="W322" s="41" t="str">
        <f t="shared" si="125"/>
        <v/>
      </c>
      <c r="Y322" s="35" t="str">
        <f t="shared" si="111"/>
        <v/>
      </c>
      <c r="Z322" s="34" t="str">
        <f t="shared" si="121"/>
        <v/>
      </c>
      <c r="AA322" s="34" t="str">
        <f t="shared" si="103"/>
        <v/>
      </c>
      <c r="AC322" s="36" t="str">
        <f t="shared" si="112"/>
        <v/>
      </c>
      <c r="AE322" s="37">
        <f t="shared" si="113"/>
        <v>0</v>
      </c>
      <c r="AG322" s="56" t="str">
        <f t="shared" si="122"/>
        <v/>
      </c>
      <c r="AH322" s="57" t="str">
        <f t="shared" si="114"/>
        <v/>
      </c>
      <c r="AI322" s="57" t="str">
        <f t="shared" si="123"/>
        <v/>
      </c>
      <c r="AJ322" s="57" t="str">
        <f t="shared" si="115"/>
        <v/>
      </c>
      <c r="AK322" s="57" t="str">
        <f t="shared" si="124"/>
        <v/>
      </c>
    </row>
    <row r="323" spans="1:37">
      <c r="A323" s="2" t="str">
        <f t="shared" si="116"/>
        <v/>
      </c>
      <c r="B323" s="10" t="str">
        <f t="shared" si="104"/>
        <v/>
      </c>
      <c r="C323" s="18" t="str">
        <f t="shared" si="105"/>
        <v/>
      </c>
      <c r="D323" s="4" t="str">
        <f t="shared" si="117"/>
        <v/>
      </c>
      <c r="E323" s="4" t="str">
        <f t="shared" si="106"/>
        <v/>
      </c>
      <c r="F323" s="4" t="str">
        <f t="shared" si="107"/>
        <v/>
      </c>
      <c r="G323" s="4" t="str">
        <f t="shared" si="108"/>
        <v/>
      </c>
      <c r="H323" s="4"/>
      <c r="I323" s="4"/>
      <c r="J323" s="4"/>
      <c r="K323" s="4"/>
      <c r="L323" s="4" t="str">
        <f>IF(A323="","",IF(ISERROR(VLOOKUP(A323,'pagos anticipados'!$A$2:$B$5,2,FALSE)),0,VLOOKUP(A323,'pagos anticipados'!$A$2:B321,2,FALSE)))</f>
        <v/>
      </c>
      <c r="M323" s="4" t="str">
        <f t="shared" si="101"/>
        <v/>
      </c>
      <c r="N323" s="1">
        <f t="shared" si="102"/>
        <v>0</v>
      </c>
      <c r="Q323" s="44" t="str">
        <f t="shared" si="109"/>
        <v/>
      </c>
      <c r="R323" s="44" t="str">
        <f t="shared" si="118"/>
        <v/>
      </c>
      <c r="S323" s="44" t="str">
        <f t="shared" si="110"/>
        <v/>
      </c>
      <c r="U323" s="42" t="str">
        <f t="shared" si="119"/>
        <v/>
      </c>
      <c r="V323" s="41" t="str">
        <f t="shared" si="120"/>
        <v/>
      </c>
      <c r="W323" s="41" t="str">
        <f t="shared" si="125"/>
        <v/>
      </c>
      <c r="Y323" s="35" t="str">
        <f t="shared" si="111"/>
        <v/>
      </c>
      <c r="Z323" s="34" t="str">
        <f t="shared" si="121"/>
        <v/>
      </c>
      <c r="AA323" s="34" t="str">
        <f t="shared" si="103"/>
        <v/>
      </c>
      <c r="AC323" s="36" t="str">
        <f t="shared" si="112"/>
        <v/>
      </c>
      <c r="AE323" s="37">
        <f t="shared" si="113"/>
        <v>0</v>
      </c>
      <c r="AG323" s="56" t="str">
        <f t="shared" si="122"/>
        <v/>
      </c>
      <c r="AH323" s="57" t="str">
        <f t="shared" si="114"/>
        <v/>
      </c>
      <c r="AI323" s="57" t="str">
        <f t="shared" si="123"/>
        <v/>
      </c>
      <c r="AJ323" s="57" t="str">
        <f t="shared" si="115"/>
        <v/>
      </c>
      <c r="AK323" s="57" t="str">
        <f t="shared" si="124"/>
        <v/>
      </c>
    </row>
    <row r="324" spans="1:37">
      <c r="A324" s="2" t="str">
        <f t="shared" si="116"/>
        <v/>
      </c>
      <c r="B324" s="10" t="str">
        <f t="shared" si="104"/>
        <v/>
      </c>
      <c r="C324" s="18" t="str">
        <f t="shared" si="105"/>
        <v/>
      </c>
      <c r="D324" s="4" t="str">
        <f t="shared" si="117"/>
        <v/>
      </c>
      <c r="E324" s="4" t="str">
        <f t="shared" si="106"/>
        <v/>
      </c>
      <c r="F324" s="4" t="str">
        <f t="shared" si="107"/>
        <v/>
      </c>
      <c r="G324" s="4" t="str">
        <f t="shared" si="108"/>
        <v/>
      </c>
      <c r="H324" s="4"/>
      <c r="I324" s="4"/>
      <c r="J324" s="4"/>
      <c r="K324" s="4"/>
      <c r="L324" s="4" t="str">
        <f>IF(A324="","",IF(ISERROR(VLOOKUP(A324,'pagos anticipados'!$A$2:$B$5,2,FALSE)),0,VLOOKUP(A324,'pagos anticipados'!$A$2:B322,2,FALSE)))</f>
        <v/>
      </c>
      <c r="M324" s="4" t="str">
        <f t="shared" si="101"/>
        <v/>
      </c>
      <c r="N324" s="1">
        <f t="shared" si="102"/>
        <v>0</v>
      </c>
      <c r="Q324" s="44" t="str">
        <f t="shared" si="109"/>
        <v/>
      </c>
      <c r="R324" s="44" t="str">
        <f t="shared" si="118"/>
        <v/>
      </c>
      <c r="S324" s="44" t="str">
        <f t="shared" si="110"/>
        <v/>
      </c>
      <c r="U324" s="42" t="str">
        <f t="shared" si="119"/>
        <v/>
      </c>
      <c r="V324" s="41" t="str">
        <f t="shared" si="120"/>
        <v/>
      </c>
      <c r="W324" s="41" t="str">
        <f t="shared" si="125"/>
        <v/>
      </c>
      <c r="Y324" s="35" t="str">
        <f t="shared" si="111"/>
        <v/>
      </c>
      <c r="Z324" s="34" t="str">
        <f t="shared" si="121"/>
        <v/>
      </c>
      <c r="AA324" s="34" t="str">
        <f t="shared" si="103"/>
        <v/>
      </c>
      <c r="AC324" s="36" t="str">
        <f t="shared" si="112"/>
        <v/>
      </c>
      <c r="AE324" s="37">
        <f t="shared" si="113"/>
        <v>0</v>
      </c>
      <c r="AG324" s="56" t="str">
        <f t="shared" si="122"/>
        <v/>
      </c>
      <c r="AH324" s="57" t="str">
        <f t="shared" si="114"/>
        <v/>
      </c>
      <c r="AI324" s="57" t="str">
        <f t="shared" si="123"/>
        <v/>
      </c>
      <c r="AJ324" s="57" t="str">
        <f t="shared" si="115"/>
        <v/>
      </c>
      <c r="AK324" s="57" t="str">
        <f t="shared" si="124"/>
        <v/>
      </c>
    </row>
    <row r="325" spans="1:37">
      <c r="A325" s="2" t="str">
        <f t="shared" si="116"/>
        <v/>
      </c>
      <c r="B325" s="10" t="str">
        <f t="shared" si="104"/>
        <v/>
      </c>
      <c r="C325" s="18" t="str">
        <f t="shared" si="105"/>
        <v/>
      </c>
      <c r="D325" s="4" t="str">
        <f t="shared" si="117"/>
        <v/>
      </c>
      <c r="E325" s="4" t="str">
        <f t="shared" si="106"/>
        <v/>
      </c>
      <c r="F325" s="4" t="str">
        <f t="shared" si="107"/>
        <v/>
      </c>
      <c r="G325" s="4" t="str">
        <f t="shared" si="108"/>
        <v/>
      </c>
      <c r="H325" s="4"/>
      <c r="I325" s="4"/>
      <c r="J325" s="4"/>
      <c r="K325" s="4"/>
      <c r="L325" s="4" t="str">
        <f>IF(A325="","",IF(ISERROR(VLOOKUP(A325,'pagos anticipados'!$A$2:$B$5,2,FALSE)),0,VLOOKUP(A325,'pagos anticipados'!$A$2:B323,2,FALSE)))</f>
        <v/>
      </c>
      <c r="M325" s="4" t="str">
        <f t="shared" si="101"/>
        <v/>
      </c>
      <c r="N325" s="1">
        <f t="shared" si="102"/>
        <v>0</v>
      </c>
      <c r="Q325" s="44" t="str">
        <f t="shared" si="109"/>
        <v/>
      </c>
      <c r="R325" s="44" t="str">
        <f t="shared" si="118"/>
        <v/>
      </c>
      <c r="S325" s="44" t="str">
        <f t="shared" si="110"/>
        <v/>
      </c>
      <c r="U325" s="42" t="str">
        <f t="shared" si="119"/>
        <v/>
      </c>
      <c r="V325" s="41" t="str">
        <f t="shared" si="120"/>
        <v/>
      </c>
      <c r="W325" s="41" t="str">
        <f t="shared" si="125"/>
        <v/>
      </c>
      <c r="Y325" s="35" t="str">
        <f t="shared" si="111"/>
        <v/>
      </c>
      <c r="Z325" s="34" t="str">
        <f t="shared" si="121"/>
        <v/>
      </c>
      <c r="AA325" s="34" t="str">
        <f t="shared" si="103"/>
        <v/>
      </c>
      <c r="AC325" s="36" t="str">
        <f t="shared" si="112"/>
        <v/>
      </c>
      <c r="AE325" s="37">
        <f t="shared" si="113"/>
        <v>0</v>
      </c>
      <c r="AG325" s="56" t="str">
        <f t="shared" si="122"/>
        <v/>
      </c>
      <c r="AH325" s="57" t="str">
        <f t="shared" si="114"/>
        <v/>
      </c>
      <c r="AI325" s="57" t="str">
        <f t="shared" si="123"/>
        <v/>
      </c>
      <c r="AJ325" s="57" t="str">
        <f t="shared" si="115"/>
        <v/>
      </c>
      <c r="AK325" s="57" t="str">
        <f t="shared" si="124"/>
        <v/>
      </c>
    </row>
    <row r="326" spans="1:37">
      <c r="A326" s="2" t="str">
        <f t="shared" si="116"/>
        <v/>
      </c>
      <c r="B326" s="10" t="str">
        <f t="shared" si="104"/>
        <v/>
      </c>
      <c r="C326" s="18" t="str">
        <f t="shared" si="105"/>
        <v/>
      </c>
      <c r="D326" s="4" t="str">
        <f t="shared" si="117"/>
        <v/>
      </c>
      <c r="E326" s="4" t="str">
        <f t="shared" si="106"/>
        <v/>
      </c>
      <c r="F326" s="4" t="str">
        <f t="shared" si="107"/>
        <v/>
      </c>
      <c r="G326" s="4" t="str">
        <f t="shared" si="108"/>
        <v/>
      </c>
      <c r="H326" s="4"/>
      <c r="I326" s="4"/>
      <c r="J326" s="4"/>
      <c r="K326" s="4"/>
      <c r="L326" s="4" t="str">
        <f>IF(A326="","",IF(ISERROR(VLOOKUP(A326,'pagos anticipados'!$A$2:$B$5,2,FALSE)),0,VLOOKUP(A326,'pagos anticipados'!$A$2:B324,2,FALSE)))</f>
        <v/>
      </c>
      <c r="M326" s="4" t="str">
        <f t="shared" si="101"/>
        <v/>
      </c>
      <c r="N326" s="1">
        <f t="shared" si="102"/>
        <v>0</v>
      </c>
      <c r="Q326" s="44" t="str">
        <f t="shared" si="109"/>
        <v/>
      </c>
      <c r="R326" s="44" t="str">
        <f t="shared" si="118"/>
        <v/>
      </c>
      <c r="S326" s="44" t="str">
        <f t="shared" si="110"/>
        <v/>
      </c>
      <c r="U326" s="42" t="str">
        <f t="shared" si="119"/>
        <v/>
      </c>
      <c r="V326" s="41" t="str">
        <f t="shared" si="120"/>
        <v/>
      </c>
      <c r="W326" s="41" t="str">
        <f t="shared" si="125"/>
        <v/>
      </c>
      <c r="Y326" s="35" t="str">
        <f t="shared" si="111"/>
        <v/>
      </c>
      <c r="Z326" s="34" t="str">
        <f t="shared" si="121"/>
        <v/>
      </c>
      <c r="AA326" s="34" t="str">
        <f t="shared" si="103"/>
        <v/>
      </c>
      <c r="AC326" s="36" t="str">
        <f t="shared" si="112"/>
        <v/>
      </c>
      <c r="AE326" s="37">
        <f t="shared" si="113"/>
        <v>0</v>
      </c>
      <c r="AG326" s="56" t="str">
        <f t="shared" si="122"/>
        <v/>
      </c>
      <c r="AH326" s="57" t="str">
        <f t="shared" si="114"/>
        <v/>
      </c>
      <c r="AI326" s="57" t="str">
        <f t="shared" si="123"/>
        <v/>
      </c>
      <c r="AJ326" s="57" t="str">
        <f t="shared" si="115"/>
        <v/>
      </c>
      <c r="AK326" s="57" t="str">
        <f t="shared" si="124"/>
        <v/>
      </c>
    </row>
    <row r="327" spans="1:37">
      <c r="A327" s="2" t="str">
        <f t="shared" si="116"/>
        <v/>
      </c>
      <c r="B327" s="10" t="str">
        <f t="shared" si="104"/>
        <v/>
      </c>
      <c r="C327" s="18" t="str">
        <f t="shared" si="105"/>
        <v/>
      </c>
      <c r="D327" s="4" t="str">
        <f t="shared" si="117"/>
        <v/>
      </c>
      <c r="E327" s="4" t="str">
        <f t="shared" si="106"/>
        <v/>
      </c>
      <c r="F327" s="4" t="str">
        <f t="shared" si="107"/>
        <v/>
      </c>
      <c r="G327" s="4" t="str">
        <f t="shared" si="108"/>
        <v/>
      </c>
      <c r="H327" s="4"/>
      <c r="I327" s="4"/>
      <c r="J327" s="4"/>
      <c r="K327" s="4"/>
      <c r="L327" s="4" t="str">
        <f>IF(A327="","",IF(ISERROR(VLOOKUP(A327,'pagos anticipados'!$A$2:$B$5,2,FALSE)),0,VLOOKUP(A327,'pagos anticipados'!$A$2:B325,2,FALSE)))</f>
        <v/>
      </c>
      <c r="M327" s="4" t="str">
        <f t="shared" ref="M327:M366" si="126">IF(A327="","",AK328-AJ328)</f>
        <v/>
      </c>
      <c r="N327" s="1">
        <f t="shared" ref="N327:N366" si="127">IF(A327="",0,+Q327/(1+$O$5)^(A327/No_pagos_al_año))</f>
        <v>0</v>
      </c>
      <c r="Q327" s="44" t="str">
        <f t="shared" si="109"/>
        <v/>
      </c>
      <c r="R327" s="44" t="str">
        <f t="shared" si="118"/>
        <v/>
      </c>
      <c r="S327" s="44" t="str">
        <f t="shared" si="110"/>
        <v/>
      </c>
      <c r="U327" s="42" t="str">
        <f t="shared" si="119"/>
        <v/>
      </c>
      <c r="V327" s="41" t="str">
        <f t="shared" si="120"/>
        <v/>
      </c>
      <c r="W327" s="41" t="str">
        <f t="shared" si="125"/>
        <v/>
      </c>
      <c r="Y327" s="35" t="str">
        <f t="shared" si="111"/>
        <v/>
      </c>
      <c r="Z327" s="34" t="str">
        <f t="shared" si="121"/>
        <v/>
      </c>
      <c r="AA327" s="34" t="str">
        <f t="shared" ref="AA327:AA366" si="128">IF(A327="","",+Z327-F327-G327)</f>
        <v/>
      </c>
      <c r="AC327" s="36" t="str">
        <f t="shared" si="112"/>
        <v/>
      </c>
      <c r="AE327" s="37">
        <f t="shared" si="113"/>
        <v>0</v>
      </c>
      <c r="AG327" s="56" t="str">
        <f t="shared" si="122"/>
        <v/>
      </c>
      <c r="AH327" s="57" t="str">
        <f t="shared" si="114"/>
        <v/>
      </c>
      <c r="AI327" s="57" t="str">
        <f t="shared" si="123"/>
        <v/>
      </c>
      <c r="AJ327" s="57" t="str">
        <f t="shared" si="115"/>
        <v/>
      </c>
      <c r="AK327" s="57" t="str">
        <f t="shared" si="124"/>
        <v/>
      </c>
    </row>
    <row r="328" spans="1:37">
      <c r="A328" s="2" t="str">
        <f t="shared" si="116"/>
        <v/>
      </c>
      <c r="B328" s="10" t="str">
        <f t="shared" ref="B328:B366" si="129">IF(A328="","",IF($A$2="mensual",30,IF($A$2="quincenal",15,IF($A$2="catorcenal",14,IF($A$2="decenal",10,IF($A$2="semanal",7))))))</f>
        <v/>
      </c>
      <c r="C328" s="18" t="str">
        <f t="shared" ref="C328:C366" si="130">IF(A328="","",$D$2/360*B328)</f>
        <v/>
      </c>
      <c r="D328" s="4" t="str">
        <f t="shared" si="117"/>
        <v/>
      </c>
      <c r="E328" s="4" t="str">
        <f t="shared" ref="E328:E366" si="131">IF(A328="","",IF(S328&gt;R328,R328,IF(AND($L$368=0,D329&lt;=0),R328,S328)))</f>
        <v/>
      </c>
      <c r="F328" s="4" t="str">
        <f t="shared" ref="F328:F366" si="132">IF(A328="","",D328*C328)</f>
        <v/>
      </c>
      <c r="G328" s="4" t="str">
        <f t="shared" ref="G328:G366" si="133">IF(A328="","",F328*$F$2)</f>
        <v/>
      </c>
      <c r="H328" s="4"/>
      <c r="I328" s="4"/>
      <c r="J328" s="4"/>
      <c r="K328" s="4"/>
      <c r="L328" s="4" t="str">
        <f>IF(A328="","",IF(ISERROR(VLOOKUP(A328,'pagos anticipados'!$A$2:$B$5,2,FALSE)),0,VLOOKUP(A328,'pagos anticipados'!$A$2:B326,2,FALSE)))</f>
        <v/>
      </c>
      <c r="M328" s="4" t="str">
        <f t="shared" si="126"/>
        <v/>
      </c>
      <c r="N328" s="1">
        <f t="shared" si="127"/>
        <v>0</v>
      </c>
      <c r="Q328" s="44" t="str">
        <f t="shared" ref="Q328:Q366" si="134">IF(A328="","",AK329-AJ329)</f>
        <v/>
      </c>
      <c r="R328" s="44" t="str">
        <f t="shared" si="118"/>
        <v/>
      </c>
      <c r="S328" s="44" t="str">
        <f t="shared" ref="S328:S366" si="135">IF(A328="","",IF($G$2="PLAZO Y PAGO",W328,IF($G$2="PAGO",AA328,IF($G$2="PLAZO",AC328,0))))</f>
        <v/>
      </c>
      <c r="U328" s="42" t="str">
        <f t="shared" si="119"/>
        <v/>
      </c>
      <c r="V328" s="41" t="str">
        <f t="shared" si="120"/>
        <v/>
      </c>
      <c r="W328" s="41" t="str">
        <f t="shared" si="125"/>
        <v/>
      </c>
      <c r="Y328" s="35" t="str">
        <f t="shared" ref="Y328:Y366" si="136">IF(A328="","",Y327-1)</f>
        <v/>
      </c>
      <c r="Z328" s="34" t="str">
        <f t="shared" si="121"/>
        <v/>
      </c>
      <c r="AA328" s="34" t="str">
        <f t="shared" si="128"/>
        <v/>
      </c>
      <c r="AC328" s="36" t="str">
        <f t="shared" ref="AC328:AC366" si="137">IF(A328="","",PAGO_FIJO-F328-G328)</f>
        <v/>
      </c>
      <c r="AE328" s="37">
        <f t="shared" ref="AE328:AE366" si="138">IF(AND(A328&lt;=Total_pagos,D328&gt;0),1,0)</f>
        <v>0</v>
      </c>
      <c r="AG328" s="56" t="str">
        <f t="shared" si="122"/>
        <v/>
      </c>
      <c r="AH328" s="57" t="str">
        <f t="shared" ref="AH328:AH367" si="139">IF(A327="","",+AG328*Tasa_del_período_sin_iva)</f>
        <v/>
      </c>
      <c r="AI328" s="57" t="str">
        <f t="shared" si="123"/>
        <v/>
      </c>
      <c r="AJ328" s="57" t="str">
        <f t="shared" ref="AJ328:AJ367" si="140">IF(A327="","",AH328*I.V.A.)</f>
        <v/>
      </c>
      <c r="AK328" s="57" t="str">
        <f t="shared" si="124"/>
        <v/>
      </c>
    </row>
    <row r="329" spans="1:37">
      <c r="A329" s="2" t="str">
        <f t="shared" ref="A329:A366" si="141">IF(OR(A328&gt;=$K$4,A328=""),"",A328+1)</f>
        <v/>
      </c>
      <c r="B329" s="10" t="str">
        <f t="shared" si="129"/>
        <v/>
      </c>
      <c r="C329" s="18" t="str">
        <f t="shared" si="130"/>
        <v/>
      </c>
      <c r="D329" s="4" t="str">
        <f t="shared" ref="D329:D366" si="142">IF(A329="","",R329)</f>
        <v/>
      </c>
      <c r="E329" s="4" t="str">
        <f t="shared" si="131"/>
        <v/>
      </c>
      <c r="F329" s="4" t="str">
        <f t="shared" si="132"/>
        <v/>
      </c>
      <c r="G329" s="4" t="str">
        <f t="shared" si="133"/>
        <v/>
      </c>
      <c r="H329" s="4"/>
      <c r="I329" s="4"/>
      <c r="J329" s="4"/>
      <c r="K329" s="4"/>
      <c r="L329" s="4" t="str">
        <f>IF(A329="","",IF(ISERROR(VLOOKUP(A329,'pagos anticipados'!$A$2:$B$5,2,FALSE)),0,VLOOKUP(A329,'pagos anticipados'!$A$2:B327,2,FALSE)))</f>
        <v/>
      </c>
      <c r="M329" s="4" t="str">
        <f t="shared" si="126"/>
        <v/>
      </c>
      <c r="N329" s="1">
        <f t="shared" si="127"/>
        <v>0</v>
      </c>
      <c r="Q329" s="44" t="str">
        <f t="shared" si="134"/>
        <v/>
      </c>
      <c r="R329" s="44" t="str">
        <f t="shared" ref="R329:R366" si="143">IF(A329="","",IF((R328-S328-L328)&lt;=0,0,(+R328-S328-L328)))</f>
        <v/>
      </c>
      <c r="S329" s="44" t="str">
        <f t="shared" si="135"/>
        <v/>
      </c>
      <c r="U329" s="42" t="str">
        <f t="shared" ref="U329:U366" si="144">IF(A329="","",U328-(PAGO_FIJO-V328))</f>
        <v/>
      </c>
      <c r="V329" s="41" t="str">
        <f t="shared" ref="V329:V366" si="145">IF(A329="","",+U329*Tasa_del_período_sin_iva*(1+I.V.A.))</f>
        <v/>
      </c>
      <c r="W329" s="41" t="str">
        <f t="shared" si="125"/>
        <v/>
      </c>
      <c r="Y329" s="35" t="str">
        <f t="shared" si="136"/>
        <v/>
      </c>
      <c r="Z329" s="34" t="str">
        <f t="shared" ref="Z329:Z366" si="146">IF(A329="","",IF(L328=0,Z328,PMT((Tasa_anual_sin_iva*(1+I.V.A.))/No_pagos_al_año,Y329,-R329)-(R329*(Tasa_anual_sin_iva*(1+I.V.A.))/No_pagos_al_año)+(R329*Tasa_del_período_sin_iva*(1+I.V.A.))))</f>
        <v/>
      </c>
      <c r="AA329" s="34" t="str">
        <f t="shared" si="128"/>
        <v/>
      </c>
      <c r="AC329" s="36" t="str">
        <f t="shared" si="137"/>
        <v/>
      </c>
      <c r="AE329" s="37">
        <f t="shared" si="138"/>
        <v>0</v>
      </c>
      <c r="AG329" s="56" t="str">
        <f t="shared" ref="AG329:AG367" si="147">IF(A328="","",AG328-AI328)</f>
        <v/>
      </c>
      <c r="AH329" s="57" t="str">
        <f t="shared" si="139"/>
        <v/>
      </c>
      <c r="AI329" s="57" t="str">
        <f t="shared" ref="AI329:AI367" si="148">IF(A328="","",IF($AK$8-AH329-AJ329&gt;AG329,AG329,$AK$8-AH329-AJ329))</f>
        <v/>
      </c>
      <c r="AJ329" s="57" t="str">
        <f t="shared" si="140"/>
        <v/>
      </c>
      <c r="AK329" s="57" t="str">
        <f t="shared" ref="AK329:AK367" si="149">IF(A328="","",+AH329+AI329+AJ329)</f>
        <v/>
      </c>
    </row>
    <row r="330" spans="1:37">
      <c r="A330" s="2" t="str">
        <f t="shared" si="141"/>
        <v/>
      </c>
      <c r="B330" s="10" t="str">
        <f t="shared" si="129"/>
        <v/>
      </c>
      <c r="C330" s="18" t="str">
        <f t="shared" si="130"/>
        <v/>
      </c>
      <c r="D330" s="4" t="str">
        <f t="shared" si="142"/>
        <v/>
      </c>
      <c r="E330" s="4" t="str">
        <f t="shared" si="131"/>
        <v/>
      </c>
      <c r="F330" s="4" t="str">
        <f t="shared" si="132"/>
        <v/>
      </c>
      <c r="G330" s="4" t="str">
        <f t="shared" si="133"/>
        <v/>
      </c>
      <c r="H330" s="4"/>
      <c r="I330" s="4"/>
      <c r="J330" s="4"/>
      <c r="K330" s="4"/>
      <c r="L330" s="4" t="str">
        <f>IF(A330="","",IF(ISERROR(VLOOKUP(A330,'pagos anticipados'!$A$2:$B$5,2,FALSE)),0,VLOOKUP(A330,'pagos anticipados'!$A$2:B328,2,FALSE)))</f>
        <v/>
      </c>
      <c r="M330" s="4" t="str">
        <f t="shared" si="126"/>
        <v/>
      </c>
      <c r="N330" s="1">
        <f t="shared" si="127"/>
        <v>0</v>
      </c>
      <c r="Q330" s="44" t="str">
        <f t="shared" si="134"/>
        <v/>
      </c>
      <c r="R330" s="44" t="str">
        <f t="shared" si="143"/>
        <v/>
      </c>
      <c r="S330" s="44" t="str">
        <f t="shared" si="135"/>
        <v/>
      </c>
      <c r="U330" s="42" t="str">
        <f t="shared" si="144"/>
        <v/>
      </c>
      <c r="V330" s="41" t="str">
        <f t="shared" si="145"/>
        <v/>
      </c>
      <c r="W330" s="41" t="str">
        <f t="shared" si="125"/>
        <v/>
      </c>
      <c r="Y330" s="35" t="str">
        <f t="shared" si="136"/>
        <v/>
      </c>
      <c r="Z330" s="34" t="str">
        <f t="shared" si="146"/>
        <v/>
      </c>
      <c r="AA330" s="34" t="str">
        <f t="shared" si="128"/>
        <v/>
      </c>
      <c r="AC330" s="36" t="str">
        <f t="shared" si="137"/>
        <v/>
      </c>
      <c r="AE330" s="37">
        <f t="shared" si="138"/>
        <v>0</v>
      </c>
      <c r="AG330" s="56" t="str">
        <f t="shared" si="147"/>
        <v/>
      </c>
      <c r="AH330" s="57" t="str">
        <f t="shared" si="139"/>
        <v/>
      </c>
      <c r="AI330" s="57" t="str">
        <f t="shared" si="148"/>
        <v/>
      </c>
      <c r="AJ330" s="57" t="str">
        <f t="shared" si="140"/>
        <v/>
      </c>
      <c r="AK330" s="57" t="str">
        <f t="shared" si="149"/>
        <v/>
      </c>
    </row>
    <row r="331" spans="1:37">
      <c r="A331" s="2" t="str">
        <f t="shared" si="141"/>
        <v/>
      </c>
      <c r="B331" s="10" t="str">
        <f t="shared" si="129"/>
        <v/>
      </c>
      <c r="C331" s="18" t="str">
        <f t="shared" si="130"/>
        <v/>
      </c>
      <c r="D331" s="4" t="str">
        <f t="shared" si="142"/>
        <v/>
      </c>
      <c r="E331" s="4" t="str">
        <f t="shared" si="131"/>
        <v/>
      </c>
      <c r="F331" s="4" t="str">
        <f t="shared" si="132"/>
        <v/>
      </c>
      <c r="G331" s="4" t="str">
        <f t="shared" si="133"/>
        <v/>
      </c>
      <c r="H331" s="4"/>
      <c r="I331" s="4"/>
      <c r="J331" s="4"/>
      <c r="K331" s="4"/>
      <c r="L331" s="4" t="str">
        <f>IF(A331="","",IF(ISERROR(VLOOKUP(A331,'pagos anticipados'!$A$2:$B$5,2,FALSE)),0,VLOOKUP(A331,'pagos anticipados'!$A$2:B329,2,FALSE)))</f>
        <v/>
      </c>
      <c r="M331" s="4" t="str">
        <f t="shared" si="126"/>
        <v/>
      </c>
      <c r="N331" s="1">
        <f t="shared" si="127"/>
        <v>0</v>
      </c>
      <c r="Q331" s="44" t="str">
        <f t="shared" si="134"/>
        <v/>
      </c>
      <c r="R331" s="44" t="str">
        <f t="shared" si="143"/>
        <v/>
      </c>
      <c r="S331" s="44" t="str">
        <f t="shared" si="135"/>
        <v/>
      </c>
      <c r="U331" s="42" t="str">
        <f t="shared" si="144"/>
        <v/>
      </c>
      <c r="V331" s="41" t="str">
        <f t="shared" si="145"/>
        <v/>
      </c>
      <c r="W331" s="41" t="str">
        <f t="shared" si="125"/>
        <v/>
      </c>
      <c r="Y331" s="35" t="str">
        <f t="shared" si="136"/>
        <v/>
      </c>
      <c r="Z331" s="34" t="str">
        <f t="shared" si="146"/>
        <v/>
      </c>
      <c r="AA331" s="34" t="str">
        <f t="shared" si="128"/>
        <v/>
      </c>
      <c r="AC331" s="36" t="str">
        <f t="shared" si="137"/>
        <v/>
      </c>
      <c r="AE331" s="37">
        <f t="shared" si="138"/>
        <v>0</v>
      </c>
      <c r="AG331" s="56" t="str">
        <f t="shared" si="147"/>
        <v/>
      </c>
      <c r="AH331" s="57" t="str">
        <f t="shared" si="139"/>
        <v/>
      </c>
      <c r="AI331" s="57" t="str">
        <f t="shared" si="148"/>
        <v/>
      </c>
      <c r="AJ331" s="57" t="str">
        <f t="shared" si="140"/>
        <v/>
      </c>
      <c r="AK331" s="57" t="str">
        <f t="shared" si="149"/>
        <v/>
      </c>
    </row>
    <row r="332" spans="1:37">
      <c r="A332" s="2" t="str">
        <f t="shared" si="141"/>
        <v/>
      </c>
      <c r="B332" s="10" t="str">
        <f t="shared" si="129"/>
        <v/>
      </c>
      <c r="C332" s="18" t="str">
        <f t="shared" si="130"/>
        <v/>
      </c>
      <c r="D332" s="4" t="str">
        <f t="shared" si="142"/>
        <v/>
      </c>
      <c r="E332" s="4" t="str">
        <f t="shared" si="131"/>
        <v/>
      </c>
      <c r="F332" s="4" t="str">
        <f t="shared" si="132"/>
        <v/>
      </c>
      <c r="G332" s="4" t="str">
        <f t="shared" si="133"/>
        <v/>
      </c>
      <c r="H332" s="4"/>
      <c r="I332" s="4"/>
      <c r="J332" s="4"/>
      <c r="K332" s="4"/>
      <c r="L332" s="4" t="str">
        <f>IF(A332="","",IF(ISERROR(VLOOKUP(A332,'pagos anticipados'!$A$2:$B$5,2,FALSE)),0,VLOOKUP(A332,'pagos anticipados'!$A$2:B330,2,FALSE)))</f>
        <v/>
      </c>
      <c r="M332" s="4" t="str">
        <f t="shared" si="126"/>
        <v/>
      </c>
      <c r="N332" s="1">
        <f t="shared" si="127"/>
        <v>0</v>
      </c>
      <c r="Q332" s="44" t="str">
        <f t="shared" si="134"/>
        <v/>
      </c>
      <c r="R332" s="44" t="str">
        <f t="shared" si="143"/>
        <v/>
      </c>
      <c r="S332" s="44" t="str">
        <f t="shared" si="135"/>
        <v/>
      </c>
      <c r="U332" s="42" t="str">
        <f t="shared" si="144"/>
        <v/>
      </c>
      <c r="V332" s="41" t="str">
        <f t="shared" si="145"/>
        <v/>
      </c>
      <c r="W332" s="41" t="str">
        <f t="shared" si="125"/>
        <v/>
      </c>
      <c r="Y332" s="35" t="str">
        <f t="shared" si="136"/>
        <v/>
      </c>
      <c r="Z332" s="34" t="str">
        <f t="shared" si="146"/>
        <v/>
      </c>
      <c r="AA332" s="34" t="str">
        <f t="shared" si="128"/>
        <v/>
      </c>
      <c r="AC332" s="36" t="str">
        <f t="shared" si="137"/>
        <v/>
      </c>
      <c r="AE332" s="37">
        <f t="shared" si="138"/>
        <v>0</v>
      </c>
      <c r="AG332" s="56" t="str">
        <f t="shared" si="147"/>
        <v/>
      </c>
      <c r="AH332" s="57" t="str">
        <f t="shared" si="139"/>
        <v/>
      </c>
      <c r="AI332" s="57" t="str">
        <f t="shared" si="148"/>
        <v/>
      </c>
      <c r="AJ332" s="57" t="str">
        <f t="shared" si="140"/>
        <v/>
      </c>
      <c r="AK332" s="57" t="str">
        <f t="shared" si="149"/>
        <v/>
      </c>
    </row>
    <row r="333" spans="1:37">
      <c r="A333" s="2" t="str">
        <f t="shared" si="141"/>
        <v/>
      </c>
      <c r="B333" s="10" t="str">
        <f t="shared" si="129"/>
        <v/>
      </c>
      <c r="C333" s="18" t="str">
        <f t="shared" si="130"/>
        <v/>
      </c>
      <c r="D333" s="4" t="str">
        <f t="shared" si="142"/>
        <v/>
      </c>
      <c r="E333" s="4" t="str">
        <f t="shared" si="131"/>
        <v/>
      </c>
      <c r="F333" s="4" t="str">
        <f t="shared" si="132"/>
        <v/>
      </c>
      <c r="G333" s="4" t="str">
        <f t="shared" si="133"/>
        <v/>
      </c>
      <c r="H333" s="4"/>
      <c r="I333" s="4"/>
      <c r="J333" s="4"/>
      <c r="K333" s="4"/>
      <c r="L333" s="4" t="str">
        <f>IF(A333="","",IF(ISERROR(VLOOKUP(A333,'pagos anticipados'!$A$2:$B$5,2,FALSE)),0,VLOOKUP(A333,'pagos anticipados'!$A$2:B331,2,FALSE)))</f>
        <v/>
      </c>
      <c r="M333" s="4" t="str">
        <f t="shared" si="126"/>
        <v/>
      </c>
      <c r="N333" s="1">
        <f t="shared" si="127"/>
        <v>0</v>
      </c>
      <c r="Q333" s="44" t="str">
        <f t="shared" si="134"/>
        <v/>
      </c>
      <c r="R333" s="44" t="str">
        <f t="shared" si="143"/>
        <v/>
      </c>
      <c r="S333" s="44" t="str">
        <f t="shared" si="135"/>
        <v/>
      </c>
      <c r="U333" s="42" t="str">
        <f t="shared" si="144"/>
        <v/>
      </c>
      <c r="V333" s="41" t="str">
        <f t="shared" si="145"/>
        <v/>
      </c>
      <c r="W333" s="41" t="str">
        <f t="shared" si="125"/>
        <v/>
      </c>
      <c r="Y333" s="35" t="str">
        <f t="shared" si="136"/>
        <v/>
      </c>
      <c r="Z333" s="34" t="str">
        <f t="shared" si="146"/>
        <v/>
      </c>
      <c r="AA333" s="34" t="str">
        <f t="shared" si="128"/>
        <v/>
      </c>
      <c r="AC333" s="36" t="str">
        <f t="shared" si="137"/>
        <v/>
      </c>
      <c r="AE333" s="37">
        <f t="shared" si="138"/>
        <v>0</v>
      </c>
      <c r="AG333" s="56" t="str">
        <f t="shared" si="147"/>
        <v/>
      </c>
      <c r="AH333" s="57" t="str">
        <f t="shared" si="139"/>
        <v/>
      </c>
      <c r="AI333" s="57" t="str">
        <f t="shared" si="148"/>
        <v/>
      </c>
      <c r="AJ333" s="57" t="str">
        <f t="shared" si="140"/>
        <v/>
      </c>
      <c r="AK333" s="57" t="str">
        <f t="shared" si="149"/>
        <v/>
      </c>
    </row>
    <row r="334" spans="1:37">
      <c r="A334" s="2" t="str">
        <f t="shared" si="141"/>
        <v/>
      </c>
      <c r="B334" s="10" t="str">
        <f t="shared" si="129"/>
        <v/>
      </c>
      <c r="C334" s="18" t="str">
        <f t="shared" si="130"/>
        <v/>
      </c>
      <c r="D334" s="4" t="str">
        <f t="shared" si="142"/>
        <v/>
      </c>
      <c r="E334" s="4" t="str">
        <f t="shared" si="131"/>
        <v/>
      </c>
      <c r="F334" s="4" t="str">
        <f t="shared" si="132"/>
        <v/>
      </c>
      <c r="G334" s="4" t="str">
        <f t="shared" si="133"/>
        <v/>
      </c>
      <c r="H334" s="4"/>
      <c r="I334" s="4"/>
      <c r="J334" s="4"/>
      <c r="K334" s="4"/>
      <c r="L334" s="4" t="str">
        <f>IF(A334="","",IF(ISERROR(VLOOKUP(A334,'pagos anticipados'!$A$2:$B$5,2,FALSE)),0,VLOOKUP(A334,'pagos anticipados'!$A$2:B332,2,FALSE)))</f>
        <v/>
      </c>
      <c r="M334" s="4" t="str">
        <f t="shared" si="126"/>
        <v/>
      </c>
      <c r="N334" s="1">
        <f t="shared" si="127"/>
        <v>0</v>
      </c>
      <c r="Q334" s="44" t="str">
        <f t="shared" si="134"/>
        <v/>
      </c>
      <c r="R334" s="44" t="str">
        <f t="shared" si="143"/>
        <v/>
      </c>
      <c r="S334" s="44" t="str">
        <f t="shared" si="135"/>
        <v/>
      </c>
      <c r="U334" s="42" t="str">
        <f t="shared" si="144"/>
        <v/>
      </c>
      <c r="V334" s="41" t="str">
        <f t="shared" si="145"/>
        <v/>
      </c>
      <c r="W334" s="41" t="str">
        <f t="shared" si="125"/>
        <v/>
      </c>
      <c r="Y334" s="35" t="str">
        <f t="shared" si="136"/>
        <v/>
      </c>
      <c r="Z334" s="34" t="str">
        <f t="shared" si="146"/>
        <v/>
      </c>
      <c r="AA334" s="34" t="str">
        <f t="shared" si="128"/>
        <v/>
      </c>
      <c r="AC334" s="36" t="str">
        <f t="shared" si="137"/>
        <v/>
      </c>
      <c r="AE334" s="37">
        <f t="shared" si="138"/>
        <v>0</v>
      </c>
      <c r="AG334" s="56" t="str">
        <f t="shared" si="147"/>
        <v/>
      </c>
      <c r="AH334" s="57" t="str">
        <f t="shared" si="139"/>
        <v/>
      </c>
      <c r="AI334" s="57" t="str">
        <f t="shared" si="148"/>
        <v/>
      </c>
      <c r="AJ334" s="57" t="str">
        <f t="shared" si="140"/>
        <v/>
      </c>
      <c r="AK334" s="57" t="str">
        <f t="shared" si="149"/>
        <v/>
      </c>
    </row>
    <row r="335" spans="1:37">
      <c r="A335" s="2" t="str">
        <f t="shared" si="141"/>
        <v/>
      </c>
      <c r="B335" s="10" t="str">
        <f t="shared" si="129"/>
        <v/>
      </c>
      <c r="C335" s="18" t="str">
        <f t="shared" si="130"/>
        <v/>
      </c>
      <c r="D335" s="4" t="str">
        <f t="shared" si="142"/>
        <v/>
      </c>
      <c r="E335" s="4" t="str">
        <f t="shared" si="131"/>
        <v/>
      </c>
      <c r="F335" s="4" t="str">
        <f t="shared" si="132"/>
        <v/>
      </c>
      <c r="G335" s="4" t="str">
        <f t="shared" si="133"/>
        <v/>
      </c>
      <c r="H335" s="4"/>
      <c r="I335" s="4"/>
      <c r="J335" s="4"/>
      <c r="K335" s="4"/>
      <c r="L335" s="4" t="str">
        <f>IF(A335="","",IF(ISERROR(VLOOKUP(A335,'pagos anticipados'!$A$2:$B$5,2,FALSE)),0,VLOOKUP(A335,'pagos anticipados'!$A$2:B333,2,FALSE)))</f>
        <v/>
      </c>
      <c r="M335" s="4" t="str">
        <f t="shared" si="126"/>
        <v/>
      </c>
      <c r="N335" s="1">
        <f t="shared" si="127"/>
        <v>0</v>
      </c>
      <c r="Q335" s="44" t="str">
        <f t="shared" si="134"/>
        <v/>
      </c>
      <c r="R335" s="44" t="str">
        <f t="shared" si="143"/>
        <v/>
      </c>
      <c r="S335" s="44" t="str">
        <f t="shared" si="135"/>
        <v/>
      </c>
      <c r="U335" s="42" t="str">
        <f t="shared" si="144"/>
        <v/>
      </c>
      <c r="V335" s="41" t="str">
        <f t="shared" si="145"/>
        <v/>
      </c>
      <c r="W335" s="41" t="str">
        <f t="shared" si="125"/>
        <v/>
      </c>
      <c r="Y335" s="35" t="str">
        <f t="shared" si="136"/>
        <v/>
      </c>
      <c r="Z335" s="34" t="str">
        <f t="shared" si="146"/>
        <v/>
      </c>
      <c r="AA335" s="34" t="str">
        <f t="shared" si="128"/>
        <v/>
      </c>
      <c r="AC335" s="36" t="str">
        <f t="shared" si="137"/>
        <v/>
      </c>
      <c r="AE335" s="37">
        <f t="shared" si="138"/>
        <v>0</v>
      </c>
      <c r="AG335" s="56" t="str">
        <f t="shared" si="147"/>
        <v/>
      </c>
      <c r="AH335" s="57" t="str">
        <f t="shared" si="139"/>
        <v/>
      </c>
      <c r="AI335" s="57" t="str">
        <f t="shared" si="148"/>
        <v/>
      </c>
      <c r="AJ335" s="57" t="str">
        <f t="shared" si="140"/>
        <v/>
      </c>
      <c r="AK335" s="57" t="str">
        <f t="shared" si="149"/>
        <v/>
      </c>
    </row>
    <row r="336" spans="1:37">
      <c r="A336" s="2" t="str">
        <f t="shared" si="141"/>
        <v/>
      </c>
      <c r="B336" s="10" t="str">
        <f t="shared" si="129"/>
        <v/>
      </c>
      <c r="C336" s="18" t="str">
        <f t="shared" si="130"/>
        <v/>
      </c>
      <c r="D336" s="4" t="str">
        <f t="shared" si="142"/>
        <v/>
      </c>
      <c r="E336" s="4" t="str">
        <f t="shared" si="131"/>
        <v/>
      </c>
      <c r="F336" s="4" t="str">
        <f t="shared" si="132"/>
        <v/>
      </c>
      <c r="G336" s="4" t="str">
        <f t="shared" si="133"/>
        <v/>
      </c>
      <c r="H336" s="4"/>
      <c r="I336" s="4"/>
      <c r="J336" s="4"/>
      <c r="K336" s="4"/>
      <c r="L336" s="4" t="str">
        <f>IF(A336="","",IF(ISERROR(VLOOKUP(A336,'pagos anticipados'!$A$2:$B$5,2,FALSE)),0,VLOOKUP(A336,'pagos anticipados'!$A$2:B334,2,FALSE)))</f>
        <v/>
      </c>
      <c r="M336" s="4" t="str">
        <f t="shared" si="126"/>
        <v/>
      </c>
      <c r="N336" s="1">
        <f t="shared" si="127"/>
        <v>0</v>
      </c>
      <c r="Q336" s="44" t="str">
        <f t="shared" si="134"/>
        <v/>
      </c>
      <c r="R336" s="44" t="str">
        <f t="shared" si="143"/>
        <v/>
      </c>
      <c r="S336" s="44" t="str">
        <f t="shared" si="135"/>
        <v/>
      </c>
      <c r="U336" s="42" t="str">
        <f t="shared" si="144"/>
        <v/>
      </c>
      <c r="V336" s="41" t="str">
        <f t="shared" si="145"/>
        <v/>
      </c>
      <c r="W336" s="41" t="str">
        <f t="shared" si="125"/>
        <v/>
      </c>
      <c r="Y336" s="35" t="str">
        <f t="shared" si="136"/>
        <v/>
      </c>
      <c r="Z336" s="34" t="str">
        <f t="shared" si="146"/>
        <v/>
      </c>
      <c r="AA336" s="34" t="str">
        <f t="shared" si="128"/>
        <v/>
      </c>
      <c r="AC336" s="36" t="str">
        <f t="shared" si="137"/>
        <v/>
      </c>
      <c r="AE336" s="37">
        <f t="shared" si="138"/>
        <v>0</v>
      </c>
      <c r="AG336" s="56" t="str">
        <f t="shared" si="147"/>
        <v/>
      </c>
      <c r="AH336" s="57" t="str">
        <f t="shared" si="139"/>
        <v/>
      </c>
      <c r="AI336" s="57" t="str">
        <f t="shared" si="148"/>
        <v/>
      </c>
      <c r="AJ336" s="57" t="str">
        <f t="shared" si="140"/>
        <v/>
      </c>
      <c r="AK336" s="57" t="str">
        <f t="shared" si="149"/>
        <v/>
      </c>
    </row>
    <row r="337" spans="1:37">
      <c r="A337" s="2" t="str">
        <f t="shared" si="141"/>
        <v/>
      </c>
      <c r="B337" s="10" t="str">
        <f t="shared" si="129"/>
        <v/>
      </c>
      <c r="C337" s="18" t="str">
        <f t="shared" si="130"/>
        <v/>
      </c>
      <c r="D337" s="4" t="str">
        <f t="shared" si="142"/>
        <v/>
      </c>
      <c r="E337" s="4" t="str">
        <f t="shared" si="131"/>
        <v/>
      </c>
      <c r="F337" s="4" t="str">
        <f t="shared" si="132"/>
        <v/>
      </c>
      <c r="G337" s="4" t="str">
        <f t="shared" si="133"/>
        <v/>
      </c>
      <c r="H337" s="4"/>
      <c r="I337" s="4"/>
      <c r="J337" s="4"/>
      <c r="K337" s="4"/>
      <c r="L337" s="4" t="str">
        <f>IF(A337="","",IF(ISERROR(VLOOKUP(A337,'pagos anticipados'!$A$2:$B$5,2,FALSE)),0,VLOOKUP(A337,'pagos anticipados'!$A$2:B335,2,FALSE)))</f>
        <v/>
      </c>
      <c r="M337" s="4" t="str">
        <f t="shared" si="126"/>
        <v/>
      </c>
      <c r="N337" s="1">
        <f t="shared" si="127"/>
        <v>0</v>
      </c>
      <c r="Q337" s="44" t="str">
        <f t="shared" si="134"/>
        <v/>
      </c>
      <c r="R337" s="44" t="str">
        <f t="shared" si="143"/>
        <v/>
      </c>
      <c r="S337" s="44" t="str">
        <f t="shared" si="135"/>
        <v/>
      </c>
      <c r="U337" s="42" t="str">
        <f t="shared" si="144"/>
        <v/>
      </c>
      <c r="V337" s="41" t="str">
        <f t="shared" si="145"/>
        <v/>
      </c>
      <c r="W337" s="41" t="str">
        <f t="shared" si="125"/>
        <v/>
      </c>
      <c r="Y337" s="35" t="str">
        <f t="shared" si="136"/>
        <v/>
      </c>
      <c r="Z337" s="34" t="str">
        <f t="shared" si="146"/>
        <v/>
      </c>
      <c r="AA337" s="34" t="str">
        <f t="shared" si="128"/>
        <v/>
      </c>
      <c r="AC337" s="36" t="str">
        <f t="shared" si="137"/>
        <v/>
      </c>
      <c r="AE337" s="37">
        <f t="shared" si="138"/>
        <v>0</v>
      </c>
      <c r="AG337" s="56" t="str">
        <f t="shared" si="147"/>
        <v/>
      </c>
      <c r="AH337" s="57" t="str">
        <f t="shared" si="139"/>
        <v/>
      </c>
      <c r="AI337" s="57" t="str">
        <f t="shared" si="148"/>
        <v/>
      </c>
      <c r="AJ337" s="57" t="str">
        <f t="shared" si="140"/>
        <v/>
      </c>
      <c r="AK337" s="57" t="str">
        <f t="shared" si="149"/>
        <v/>
      </c>
    </row>
    <row r="338" spans="1:37">
      <c r="A338" s="2" t="str">
        <f t="shared" si="141"/>
        <v/>
      </c>
      <c r="B338" s="10" t="str">
        <f t="shared" si="129"/>
        <v/>
      </c>
      <c r="C338" s="18" t="str">
        <f t="shared" si="130"/>
        <v/>
      </c>
      <c r="D338" s="4" t="str">
        <f t="shared" si="142"/>
        <v/>
      </c>
      <c r="E338" s="4" t="str">
        <f t="shared" si="131"/>
        <v/>
      </c>
      <c r="F338" s="4" t="str">
        <f t="shared" si="132"/>
        <v/>
      </c>
      <c r="G338" s="4" t="str">
        <f t="shared" si="133"/>
        <v/>
      </c>
      <c r="H338" s="4"/>
      <c r="I338" s="4"/>
      <c r="J338" s="4"/>
      <c r="K338" s="4"/>
      <c r="L338" s="4" t="str">
        <f>IF(A338="","",IF(ISERROR(VLOOKUP(A338,'pagos anticipados'!$A$2:$B$5,2,FALSE)),0,VLOOKUP(A338,'pagos anticipados'!$A$2:B336,2,FALSE)))</f>
        <v/>
      </c>
      <c r="M338" s="4" t="str">
        <f t="shared" si="126"/>
        <v/>
      </c>
      <c r="N338" s="1">
        <f t="shared" si="127"/>
        <v>0</v>
      </c>
      <c r="Q338" s="44" t="str">
        <f t="shared" si="134"/>
        <v/>
      </c>
      <c r="R338" s="44" t="str">
        <f t="shared" si="143"/>
        <v/>
      </c>
      <c r="S338" s="44" t="str">
        <f t="shared" si="135"/>
        <v/>
      </c>
      <c r="U338" s="42" t="str">
        <f t="shared" si="144"/>
        <v/>
      </c>
      <c r="V338" s="41" t="str">
        <f t="shared" si="145"/>
        <v/>
      </c>
      <c r="W338" s="41" t="str">
        <f t="shared" si="125"/>
        <v/>
      </c>
      <c r="Y338" s="35" t="str">
        <f t="shared" si="136"/>
        <v/>
      </c>
      <c r="Z338" s="34" t="str">
        <f t="shared" si="146"/>
        <v/>
      </c>
      <c r="AA338" s="34" t="str">
        <f t="shared" si="128"/>
        <v/>
      </c>
      <c r="AC338" s="36" t="str">
        <f t="shared" si="137"/>
        <v/>
      </c>
      <c r="AE338" s="37">
        <f t="shared" si="138"/>
        <v>0</v>
      </c>
      <c r="AG338" s="56" t="str">
        <f t="shared" si="147"/>
        <v/>
      </c>
      <c r="AH338" s="57" t="str">
        <f t="shared" si="139"/>
        <v/>
      </c>
      <c r="AI338" s="57" t="str">
        <f t="shared" si="148"/>
        <v/>
      </c>
      <c r="AJ338" s="57" t="str">
        <f t="shared" si="140"/>
        <v/>
      </c>
      <c r="AK338" s="57" t="str">
        <f t="shared" si="149"/>
        <v/>
      </c>
    </row>
    <row r="339" spans="1:37">
      <c r="A339" s="2" t="str">
        <f t="shared" si="141"/>
        <v/>
      </c>
      <c r="B339" s="10" t="str">
        <f t="shared" si="129"/>
        <v/>
      </c>
      <c r="C339" s="18" t="str">
        <f t="shared" si="130"/>
        <v/>
      </c>
      <c r="D339" s="4" t="str">
        <f t="shared" si="142"/>
        <v/>
      </c>
      <c r="E339" s="4" t="str">
        <f t="shared" si="131"/>
        <v/>
      </c>
      <c r="F339" s="4" t="str">
        <f t="shared" si="132"/>
        <v/>
      </c>
      <c r="G339" s="4" t="str">
        <f t="shared" si="133"/>
        <v/>
      </c>
      <c r="H339" s="4"/>
      <c r="I339" s="4"/>
      <c r="J339" s="4"/>
      <c r="K339" s="4"/>
      <c r="L339" s="4" t="str">
        <f>IF(A339="","",IF(ISERROR(VLOOKUP(A339,'pagos anticipados'!$A$2:$B$5,2,FALSE)),0,VLOOKUP(A339,'pagos anticipados'!$A$2:B337,2,FALSE)))</f>
        <v/>
      </c>
      <c r="M339" s="4" t="str">
        <f t="shared" si="126"/>
        <v/>
      </c>
      <c r="N339" s="1">
        <f t="shared" si="127"/>
        <v>0</v>
      </c>
      <c r="Q339" s="44" t="str">
        <f t="shared" si="134"/>
        <v/>
      </c>
      <c r="R339" s="44" t="str">
        <f t="shared" si="143"/>
        <v/>
      </c>
      <c r="S339" s="44" t="str">
        <f t="shared" si="135"/>
        <v/>
      </c>
      <c r="U339" s="42" t="str">
        <f t="shared" si="144"/>
        <v/>
      </c>
      <c r="V339" s="41" t="str">
        <f t="shared" si="145"/>
        <v/>
      </c>
      <c r="W339" s="41" t="str">
        <f t="shared" si="125"/>
        <v/>
      </c>
      <c r="Y339" s="35" t="str">
        <f t="shared" si="136"/>
        <v/>
      </c>
      <c r="Z339" s="34" t="str">
        <f t="shared" si="146"/>
        <v/>
      </c>
      <c r="AA339" s="34" t="str">
        <f t="shared" si="128"/>
        <v/>
      </c>
      <c r="AC339" s="36" t="str">
        <f t="shared" si="137"/>
        <v/>
      </c>
      <c r="AE339" s="37">
        <f t="shared" si="138"/>
        <v>0</v>
      </c>
      <c r="AG339" s="56" t="str">
        <f t="shared" si="147"/>
        <v/>
      </c>
      <c r="AH339" s="57" t="str">
        <f t="shared" si="139"/>
        <v/>
      </c>
      <c r="AI339" s="57" t="str">
        <f t="shared" si="148"/>
        <v/>
      </c>
      <c r="AJ339" s="57" t="str">
        <f t="shared" si="140"/>
        <v/>
      </c>
      <c r="AK339" s="57" t="str">
        <f t="shared" si="149"/>
        <v/>
      </c>
    </row>
    <row r="340" spans="1:37">
      <c r="A340" s="2" t="str">
        <f t="shared" si="141"/>
        <v/>
      </c>
      <c r="B340" s="10" t="str">
        <f t="shared" si="129"/>
        <v/>
      </c>
      <c r="C340" s="18" t="str">
        <f t="shared" si="130"/>
        <v/>
      </c>
      <c r="D340" s="4" t="str">
        <f t="shared" si="142"/>
        <v/>
      </c>
      <c r="E340" s="4" t="str">
        <f t="shared" si="131"/>
        <v/>
      </c>
      <c r="F340" s="4" t="str">
        <f t="shared" si="132"/>
        <v/>
      </c>
      <c r="G340" s="4" t="str">
        <f t="shared" si="133"/>
        <v/>
      </c>
      <c r="H340" s="4"/>
      <c r="I340" s="4"/>
      <c r="J340" s="4"/>
      <c r="K340" s="4"/>
      <c r="L340" s="4" t="str">
        <f>IF(A340="","",IF(ISERROR(VLOOKUP(A340,'pagos anticipados'!$A$2:$B$5,2,FALSE)),0,VLOOKUP(A340,'pagos anticipados'!$A$2:B338,2,FALSE)))</f>
        <v/>
      </c>
      <c r="M340" s="4" t="str">
        <f t="shared" si="126"/>
        <v/>
      </c>
      <c r="N340" s="1">
        <f t="shared" si="127"/>
        <v>0</v>
      </c>
      <c r="Q340" s="44" t="str">
        <f t="shared" si="134"/>
        <v/>
      </c>
      <c r="R340" s="44" t="str">
        <f t="shared" si="143"/>
        <v/>
      </c>
      <c r="S340" s="44" t="str">
        <f t="shared" si="135"/>
        <v/>
      </c>
      <c r="U340" s="42" t="str">
        <f t="shared" si="144"/>
        <v/>
      </c>
      <c r="V340" s="41" t="str">
        <f t="shared" si="145"/>
        <v/>
      </c>
      <c r="W340" s="41" t="str">
        <f t="shared" si="125"/>
        <v/>
      </c>
      <c r="Y340" s="35" t="str">
        <f t="shared" si="136"/>
        <v/>
      </c>
      <c r="Z340" s="34" t="str">
        <f t="shared" si="146"/>
        <v/>
      </c>
      <c r="AA340" s="34" t="str">
        <f t="shared" si="128"/>
        <v/>
      </c>
      <c r="AC340" s="36" t="str">
        <f t="shared" si="137"/>
        <v/>
      </c>
      <c r="AE340" s="37">
        <f t="shared" si="138"/>
        <v>0</v>
      </c>
      <c r="AG340" s="56" t="str">
        <f t="shared" si="147"/>
        <v/>
      </c>
      <c r="AH340" s="57" t="str">
        <f t="shared" si="139"/>
        <v/>
      </c>
      <c r="AI340" s="57" t="str">
        <f t="shared" si="148"/>
        <v/>
      </c>
      <c r="AJ340" s="57" t="str">
        <f t="shared" si="140"/>
        <v/>
      </c>
      <c r="AK340" s="57" t="str">
        <f t="shared" si="149"/>
        <v/>
      </c>
    </row>
    <row r="341" spans="1:37">
      <c r="A341" s="2" t="str">
        <f t="shared" si="141"/>
        <v/>
      </c>
      <c r="B341" s="10" t="str">
        <f t="shared" si="129"/>
        <v/>
      </c>
      <c r="C341" s="18" t="str">
        <f t="shared" si="130"/>
        <v/>
      </c>
      <c r="D341" s="4" t="str">
        <f t="shared" si="142"/>
        <v/>
      </c>
      <c r="E341" s="4" t="str">
        <f t="shared" si="131"/>
        <v/>
      </c>
      <c r="F341" s="4" t="str">
        <f t="shared" si="132"/>
        <v/>
      </c>
      <c r="G341" s="4" t="str">
        <f t="shared" si="133"/>
        <v/>
      </c>
      <c r="H341" s="4"/>
      <c r="I341" s="4"/>
      <c r="J341" s="4"/>
      <c r="K341" s="4"/>
      <c r="L341" s="4" t="str">
        <f>IF(A341="","",IF(ISERROR(VLOOKUP(A341,'pagos anticipados'!$A$2:$B$5,2,FALSE)),0,VLOOKUP(A341,'pagos anticipados'!$A$2:B339,2,FALSE)))</f>
        <v/>
      </c>
      <c r="M341" s="4" t="str">
        <f t="shared" si="126"/>
        <v/>
      </c>
      <c r="N341" s="1">
        <f t="shared" si="127"/>
        <v>0</v>
      </c>
      <c r="Q341" s="44" t="str">
        <f t="shared" si="134"/>
        <v/>
      </c>
      <c r="R341" s="44" t="str">
        <f t="shared" si="143"/>
        <v/>
      </c>
      <c r="S341" s="44" t="str">
        <f t="shared" si="135"/>
        <v/>
      </c>
      <c r="U341" s="42" t="str">
        <f t="shared" si="144"/>
        <v/>
      </c>
      <c r="V341" s="41" t="str">
        <f t="shared" si="145"/>
        <v/>
      </c>
      <c r="W341" s="41" t="str">
        <f t="shared" si="125"/>
        <v/>
      </c>
      <c r="Y341" s="35" t="str">
        <f t="shared" si="136"/>
        <v/>
      </c>
      <c r="Z341" s="34" t="str">
        <f t="shared" si="146"/>
        <v/>
      </c>
      <c r="AA341" s="34" t="str">
        <f t="shared" si="128"/>
        <v/>
      </c>
      <c r="AC341" s="36" t="str">
        <f t="shared" si="137"/>
        <v/>
      </c>
      <c r="AE341" s="37">
        <f t="shared" si="138"/>
        <v>0</v>
      </c>
      <c r="AG341" s="56" t="str">
        <f t="shared" si="147"/>
        <v/>
      </c>
      <c r="AH341" s="57" t="str">
        <f t="shared" si="139"/>
        <v/>
      </c>
      <c r="AI341" s="57" t="str">
        <f t="shared" si="148"/>
        <v/>
      </c>
      <c r="AJ341" s="57" t="str">
        <f t="shared" si="140"/>
        <v/>
      </c>
      <c r="AK341" s="57" t="str">
        <f t="shared" si="149"/>
        <v/>
      </c>
    </row>
    <row r="342" spans="1:37">
      <c r="A342" s="2" t="str">
        <f t="shared" si="141"/>
        <v/>
      </c>
      <c r="B342" s="10" t="str">
        <f t="shared" si="129"/>
        <v/>
      </c>
      <c r="C342" s="18" t="str">
        <f t="shared" si="130"/>
        <v/>
      </c>
      <c r="D342" s="4" t="str">
        <f t="shared" si="142"/>
        <v/>
      </c>
      <c r="E342" s="4" t="str">
        <f t="shared" si="131"/>
        <v/>
      </c>
      <c r="F342" s="4" t="str">
        <f t="shared" si="132"/>
        <v/>
      </c>
      <c r="G342" s="4" t="str">
        <f t="shared" si="133"/>
        <v/>
      </c>
      <c r="H342" s="4"/>
      <c r="I342" s="4"/>
      <c r="J342" s="4"/>
      <c r="K342" s="4"/>
      <c r="L342" s="4" t="str">
        <f>IF(A342="","",IF(ISERROR(VLOOKUP(A342,'pagos anticipados'!$A$2:$B$5,2,FALSE)),0,VLOOKUP(A342,'pagos anticipados'!$A$2:B340,2,FALSE)))</f>
        <v/>
      </c>
      <c r="M342" s="4" t="str">
        <f t="shared" si="126"/>
        <v/>
      </c>
      <c r="N342" s="1">
        <f t="shared" si="127"/>
        <v>0</v>
      </c>
      <c r="Q342" s="44" t="str">
        <f t="shared" si="134"/>
        <v/>
      </c>
      <c r="R342" s="44" t="str">
        <f t="shared" si="143"/>
        <v/>
      </c>
      <c r="S342" s="44" t="str">
        <f t="shared" si="135"/>
        <v/>
      </c>
      <c r="U342" s="42" t="str">
        <f t="shared" si="144"/>
        <v/>
      </c>
      <c r="V342" s="41" t="str">
        <f t="shared" si="145"/>
        <v/>
      </c>
      <c r="W342" s="41" t="str">
        <f t="shared" si="125"/>
        <v/>
      </c>
      <c r="Y342" s="35" t="str">
        <f t="shared" si="136"/>
        <v/>
      </c>
      <c r="Z342" s="34" t="str">
        <f t="shared" si="146"/>
        <v/>
      </c>
      <c r="AA342" s="34" t="str">
        <f t="shared" si="128"/>
        <v/>
      </c>
      <c r="AC342" s="36" t="str">
        <f t="shared" si="137"/>
        <v/>
      </c>
      <c r="AE342" s="37">
        <f t="shared" si="138"/>
        <v>0</v>
      </c>
      <c r="AG342" s="56" t="str">
        <f t="shared" si="147"/>
        <v/>
      </c>
      <c r="AH342" s="57" t="str">
        <f t="shared" si="139"/>
        <v/>
      </c>
      <c r="AI342" s="57" t="str">
        <f t="shared" si="148"/>
        <v/>
      </c>
      <c r="AJ342" s="57" t="str">
        <f t="shared" si="140"/>
        <v/>
      </c>
      <c r="AK342" s="57" t="str">
        <f t="shared" si="149"/>
        <v/>
      </c>
    </row>
    <row r="343" spans="1:37">
      <c r="A343" s="2" t="str">
        <f t="shared" si="141"/>
        <v/>
      </c>
      <c r="B343" s="10" t="str">
        <f t="shared" si="129"/>
        <v/>
      </c>
      <c r="C343" s="18" t="str">
        <f t="shared" si="130"/>
        <v/>
      </c>
      <c r="D343" s="4" t="str">
        <f t="shared" si="142"/>
        <v/>
      </c>
      <c r="E343" s="4" t="str">
        <f t="shared" si="131"/>
        <v/>
      </c>
      <c r="F343" s="4" t="str">
        <f t="shared" si="132"/>
        <v/>
      </c>
      <c r="G343" s="4" t="str">
        <f t="shared" si="133"/>
        <v/>
      </c>
      <c r="H343" s="4"/>
      <c r="I343" s="4"/>
      <c r="J343" s="4"/>
      <c r="K343" s="4"/>
      <c r="L343" s="4" t="str">
        <f>IF(A343="","",IF(ISERROR(VLOOKUP(A343,'pagos anticipados'!$A$2:$B$5,2,FALSE)),0,VLOOKUP(A343,'pagos anticipados'!$A$2:B341,2,FALSE)))</f>
        <v/>
      </c>
      <c r="M343" s="4" t="str">
        <f t="shared" si="126"/>
        <v/>
      </c>
      <c r="N343" s="1">
        <f t="shared" si="127"/>
        <v>0</v>
      </c>
      <c r="Q343" s="44" t="str">
        <f t="shared" si="134"/>
        <v/>
      </c>
      <c r="R343" s="44" t="str">
        <f t="shared" si="143"/>
        <v/>
      </c>
      <c r="S343" s="44" t="str">
        <f t="shared" si="135"/>
        <v/>
      </c>
      <c r="U343" s="42" t="str">
        <f t="shared" si="144"/>
        <v/>
      </c>
      <c r="V343" s="41" t="str">
        <f t="shared" si="145"/>
        <v/>
      </c>
      <c r="W343" s="41" t="str">
        <f t="shared" si="125"/>
        <v/>
      </c>
      <c r="Y343" s="35" t="str">
        <f t="shared" si="136"/>
        <v/>
      </c>
      <c r="Z343" s="34" t="str">
        <f t="shared" si="146"/>
        <v/>
      </c>
      <c r="AA343" s="34" t="str">
        <f t="shared" si="128"/>
        <v/>
      </c>
      <c r="AC343" s="36" t="str">
        <f t="shared" si="137"/>
        <v/>
      </c>
      <c r="AE343" s="37">
        <f t="shared" si="138"/>
        <v>0</v>
      </c>
      <c r="AG343" s="56" t="str">
        <f t="shared" si="147"/>
        <v/>
      </c>
      <c r="AH343" s="57" t="str">
        <f t="shared" si="139"/>
        <v/>
      </c>
      <c r="AI343" s="57" t="str">
        <f t="shared" si="148"/>
        <v/>
      </c>
      <c r="AJ343" s="57" t="str">
        <f t="shared" si="140"/>
        <v/>
      </c>
      <c r="AK343" s="57" t="str">
        <f t="shared" si="149"/>
        <v/>
      </c>
    </row>
    <row r="344" spans="1:37">
      <c r="A344" s="2" t="str">
        <f t="shared" si="141"/>
        <v/>
      </c>
      <c r="B344" s="10" t="str">
        <f t="shared" si="129"/>
        <v/>
      </c>
      <c r="C344" s="18" t="str">
        <f t="shared" si="130"/>
        <v/>
      </c>
      <c r="D344" s="4" t="str">
        <f t="shared" si="142"/>
        <v/>
      </c>
      <c r="E344" s="4" t="str">
        <f t="shared" si="131"/>
        <v/>
      </c>
      <c r="F344" s="4" t="str">
        <f t="shared" si="132"/>
        <v/>
      </c>
      <c r="G344" s="4" t="str">
        <f t="shared" si="133"/>
        <v/>
      </c>
      <c r="H344" s="4"/>
      <c r="I344" s="4"/>
      <c r="J344" s="4"/>
      <c r="K344" s="4"/>
      <c r="L344" s="4" t="str">
        <f>IF(A344="","",IF(ISERROR(VLOOKUP(A344,'pagos anticipados'!$A$2:$B$5,2,FALSE)),0,VLOOKUP(A344,'pagos anticipados'!$A$2:B342,2,FALSE)))</f>
        <v/>
      </c>
      <c r="M344" s="4" t="str">
        <f t="shared" si="126"/>
        <v/>
      </c>
      <c r="N344" s="1">
        <f t="shared" si="127"/>
        <v>0</v>
      </c>
      <c r="Q344" s="44" t="str">
        <f t="shared" si="134"/>
        <v/>
      </c>
      <c r="R344" s="44" t="str">
        <f t="shared" si="143"/>
        <v/>
      </c>
      <c r="S344" s="44" t="str">
        <f t="shared" si="135"/>
        <v/>
      </c>
      <c r="U344" s="42" t="str">
        <f t="shared" si="144"/>
        <v/>
      </c>
      <c r="V344" s="41" t="str">
        <f t="shared" si="145"/>
        <v/>
      </c>
      <c r="W344" s="41" t="str">
        <f t="shared" si="125"/>
        <v/>
      </c>
      <c r="Y344" s="35" t="str">
        <f t="shared" si="136"/>
        <v/>
      </c>
      <c r="Z344" s="34" t="str">
        <f t="shared" si="146"/>
        <v/>
      </c>
      <c r="AA344" s="34" t="str">
        <f t="shared" si="128"/>
        <v/>
      </c>
      <c r="AC344" s="36" t="str">
        <f t="shared" si="137"/>
        <v/>
      </c>
      <c r="AE344" s="37">
        <f t="shared" si="138"/>
        <v>0</v>
      </c>
      <c r="AG344" s="56" t="str">
        <f t="shared" si="147"/>
        <v/>
      </c>
      <c r="AH344" s="57" t="str">
        <f t="shared" si="139"/>
        <v/>
      </c>
      <c r="AI344" s="57" t="str">
        <f t="shared" si="148"/>
        <v/>
      </c>
      <c r="AJ344" s="57" t="str">
        <f t="shared" si="140"/>
        <v/>
      </c>
      <c r="AK344" s="57" t="str">
        <f t="shared" si="149"/>
        <v/>
      </c>
    </row>
    <row r="345" spans="1:37">
      <c r="A345" s="2" t="str">
        <f t="shared" si="141"/>
        <v/>
      </c>
      <c r="B345" s="10" t="str">
        <f t="shared" si="129"/>
        <v/>
      </c>
      <c r="C345" s="18" t="str">
        <f t="shared" si="130"/>
        <v/>
      </c>
      <c r="D345" s="4" t="str">
        <f t="shared" si="142"/>
        <v/>
      </c>
      <c r="E345" s="4" t="str">
        <f t="shared" si="131"/>
        <v/>
      </c>
      <c r="F345" s="4" t="str">
        <f t="shared" si="132"/>
        <v/>
      </c>
      <c r="G345" s="4" t="str">
        <f t="shared" si="133"/>
        <v/>
      </c>
      <c r="H345" s="4"/>
      <c r="I345" s="4"/>
      <c r="J345" s="4"/>
      <c r="K345" s="4"/>
      <c r="L345" s="4" t="str">
        <f>IF(A345="","",IF(ISERROR(VLOOKUP(A345,'pagos anticipados'!$A$2:$B$5,2,FALSE)),0,VLOOKUP(A345,'pagos anticipados'!$A$2:B343,2,FALSE)))</f>
        <v/>
      </c>
      <c r="M345" s="4" t="str">
        <f t="shared" si="126"/>
        <v/>
      </c>
      <c r="N345" s="1">
        <f t="shared" si="127"/>
        <v>0</v>
      </c>
      <c r="Q345" s="44" t="str">
        <f t="shared" si="134"/>
        <v/>
      </c>
      <c r="R345" s="44" t="str">
        <f t="shared" si="143"/>
        <v/>
      </c>
      <c r="S345" s="44" t="str">
        <f t="shared" si="135"/>
        <v/>
      </c>
      <c r="U345" s="42" t="str">
        <f t="shared" si="144"/>
        <v/>
      </c>
      <c r="V345" s="41" t="str">
        <f t="shared" si="145"/>
        <v/>
      </c>
      <c r="W345" s="41" t="str">
        <f t="shared" si="125"/>
        <v/>
      </c>
      <c r="Y345" s="35" t="str">
        <f t="shared" si="136"/>
        <v/>
      </c>
      <c r="Z345" s="34" t="str">
        <f t="shared" si="146"/>
        <v/>
      </c>
      <c r="AA345" s="34" t="str">
        <f t="shared" si="128"/>
        <v/>
      </c>
      <c r="AC345" s="36" t="str">
        <f t="shared" si="137"/>
        <v/>
      </c>
      <c r="AE345" s="37">
        <f t="shared" si="138"/>
        <v>0</v>
      </c>
      <c r="AG345" s="56" t="str">
        <f t="shared" si="147"/>
        <v/>
      </c>
      <c r="AH345" s="57" t="str">
        <f t="shared" si="139"/>
        <v/>
      </c>
      <c r="AI345" s="57" t="str">
        <f t="shared" si="148"/>
        <v/>
      </c>
      <c r="AJ345" s="57" t="str">
        <f t="shared" si="140"/>
        <v/>
      </c>
      <c r="AK345" s="57" t="str">
        <f t="shared" si="149"/>
        <v/>
      </c>
    </row>
    <row r="346" spans="1:37">
      <c r="A346" s="2" t="str">
        <f t="shared" si="141"/>
        <v/>
      </c>
      <c r="B346" s="10" t="str">
        <f t="shared" si="129"/>
        <v/>
      </c>
      <c r="C346" s="18" t="str">
        <f t="shared" si="130"/>
        <v/>
      </c>
      <c r="D346" s="4" t="str">
        <f t="shared" si="142"/>
        <v/>
      </c>
      <c r="E346" s="4" t="str">
        <f t="shared" si="131"/>
        <v/>
      </c>
      <c r="F346" s="4" t="str">
        <f t="shared" si="132"/>
        <v/>
      </c>
      <c r="G346" s="4" t="str">
        <f t="shared" si="133"/>
        <v/>
      </c>
      <c r="H346" s="4"/>
      <c r="I346" s="4"/>
      <c r="J346" s="4"/>
      <c r="K346" s="4"/>
      <c r="L346" s="4" t="str">
        <f>IF(A346="","",IF(ISERROR(VLOOKUP(A346,'pagos anticipados'!$A$2:$B$5,2,FALSE)),0,VLOOKUP(A346,'pagos anticipados'!$A$2:B344,2,FALSE)))</f>
        <v/>
      </c>
      <c r="M346" s="4" t="str">
        <f t="shared" si="126"/>
        <v/>
      </c>
      <c r="N346" s="1">
        <f t="shared" si="127"/>
        <v>0</v>
      </c>
      <c r="Q346" s="44" t="str">
        <f t="shared" si="134"/>
        <v/>
      </c>
      <c r="R346" s="44" t="str">
        <f t="shared" si="143"/>
        <v/>
      </c>
      <c r="S346" s="44" t="str">
        <f t="shared" si="135"/>
        <v/>
      </c>
      <c r="U346" s="42" t="str">
        <f t="shared" si="144"/>
        <v/>
      </c>
      <c r="V346" s="41" t="str">
        <f t="shared" si="145"/>
        <v/>
      </c>
      <c r="W346" s="41" t="str">
        <f t="shared" si="125"/>
        <v/>
      </c>
      <c r="Y346" s="35" t="str">
        <f t="shared" si="136"/>
        <v/>
      </c>
      <c r="Z346" s="34" t="str">
        <f t="shared" si="146"/>
        <v/>
      </c>
      <c r="AA346" s="34" t="str">
        <f t="shared" si="128"/>
        <v/>
      </c>
      <c r="AC346" s="36" t="str">
        <f t="shared" si="137"/>
        <v/>
      </c>
      <c r="AE346" s="37">
        <f t="shared" si="138"/>
        <v>0</v>
      </c>
      <c r="AG346" s="56" t="str">
        <f t="shared" si="147"/>
        <v/>
      </c>
      <c r="AH346" s="57" t="str">
        <f t="shared" si="139"/>
        <v/>
      </c>
      <c r="AI346" s="57" t="str">
        <f t="shared" si="148"/>
        <v/>
      </c>
      <c r="AJ346" s="57" t="str">
        <f t="shared" si="140"/>
        <v/>
      </c>
      <c r="AK346" s="57" t="str">
        <f t="shared" si="149"/>
        <v/>
      </c>
    </row>
    <row r="347" spans="1:37">
      <c r="A347" s="2" t="str">
        <f t="shared" si="141"/>
        <v/>
      </c>
      <c r="B347" s="10" t="str">
        <f t="shared" si="129"/>
        <v/>
      </c>
      <c r="C347" s="18" t="str">
        <f t="shared" si="130"/>
        <v/>
      </c>
      <c r="D347" s="4" t="str">
        <f t="shared" si="142"/>
        <v/>
      </c>
      <c r="E347" s="4" t="str">
        <f t="shared" si="131"/>
        <v/>
      </c>
      <c r="F347" s="4" t="str">
        <f t="shared" si="132"/>
        <v/>
      </c>
      <c r="G347" s="4" t="str">
        <f t="shared" si="133"/>
        <v/>
      </c>
      <c r="H347" s="4"/>
      <c r="I347" s="4"/>
      <c r="J347" s="4"/>
      <c r="K347" s="4"/>
      <c r="L347" s="4" t="str">
        <f>IF(A347="","",IF(ISERROR(VLOOKUP(A347,'pagos anticipados'!$A$2:$B$5,2,FALSE)),0,VLOOKUP(A347,'pagos anticipados'!$A$2:B345,2,FALSE)))</f>
        <v/>
      </c>
      <c r="M347" s="4" t="str">
        <f t="shared" si="126"/>
        <v/>
      </c>
      <c r="N347" s="1">
        <f t="shared" si="127"/>
        <v>0</v>
      </c>
      <c r="Q347" s="44" t="str">
        <f t="shared" si="134"/>
        <v/>
      </c>
      <c r="R347" s="44" t="str">
        <f t="shared" si="143"/>
        <v/>
      </c>
      <c r="S347" s="44" t="str">
        <f t="shared" si="135"/>
        <v/>
      </c>
      <c r="U347" s="42" t="str">
        <f t="shared" si="144"/>
        <v/>
      </c>
      <c r="V347" s="41" t="str">
        <f t="shared" si="145"/>
        <v/>
      </c>
      <c r="W347" s="41" t="str">
        <f t="shared" si="125"/>
        <v/>
      </c>
      <c r="Y347" s="35" t="str">
        <f t="shared" si="136"/>
        <v/>
      </c>
      <c r="Z347" s="34" t="str">
        <f t="shared" si="146"/>
        <v/>
      </c>
      <c r="AA347" s="34" t="str">
        <f t="shared" si="128"/>
        <v/>
      </c>
      <c r="AC347" s="36" t="str">
        <f t="shared" si="137"/>
        <v/>
      </c>
      <c r="AE347" s="37">
        <f t="shared" si="138"/>
        <v>0</v>
      </c>
      <c r="AG347" s="56" t="str">
        <f t="shared" si="147"/>
        <v/>
      </c>
      <c r="AH347" s="57" t="str">
        <f t="shared" si="139"/>
        <v/>
      </c>
      <c r="AI347" s="57" t="str">
        <f t="shared" si="148"/>
        <v/>
      </c>
      <c r="AJ347" s="57" t="str">
        <f t="shared" si="140"/>
        <v/>
      </c>
      <c r="AK347" s="57" t="str">
        <f t="shared" si="149"/>
        <v/>
      </c>
    </row>
    <row r="348" spans="1:37">
      <c r="A348" s="2" t="str">
        <f t="shared" si="141"/>
        <v/>
      </c>
      <c r="B348" s="10" t="str">
        <f t="shared" si="129"/>
        <v/>
      </c>
      <c r="C348" s="18" t="str">
        <f t="shared" si="130"/>
        <v/>
      </c>
      <c r="D348" s="4" t="str">
        <f t="shared" si="142"/>
        <v/>
      </c>
      <c r="E348" s="4" t="str">
        <f t="shared" si="131"/>
        <v/>
      </c>
      <c r="F348" s="4" t="str">
        <f t="shared" si="132"/>
        <v/>
      </c>
      <c r="G348" s="4" t="str">
        <f t="shared" si="133"/>
        <v/>
      </c>
      <c r="H348" s="4"/>
      <c r="I348" s="4"/>
      <c r="J348" s="4"/>
      <c r="K348" s="4"/>
      <c r="L348" s="4" t="str">
        <f>IF(A348="","",IF(ISERROR(VLOOKUP(A348,'pagos anticipados'!$A$2:$B$5,2,FALSE)),0,VLOOKUP(A348,'pagos anticipados'!$A$2:B346,2,FALSE)))</f>
        <v/>
      </c>
      <c r="M348" s="4" t="str">
        <f t="shared" si="126"/>
        <v/>
      </c>
      <c r="N348" s="1">
        <f t="shared" si="127"/>
        <v>0</v>
      </c>
      <c r="Q348" s="44" t="str">
        <f t="shared" si="134"/>
        <v/>
      </c>
      <c r="R348" s="44" t="str">
        <f t="shared" si="143"/>
        <v/>
      </c>
      <c r="S348" s="44" t="str">
        <f t="shared" si="135"/>
        <v/>
      </c>
      <c r="U348" s="42" t="str">
        <f t="shared" si="144"/>
        <v/>
      </c>
      <c r="V348" s="41" t="str">
        <f t="shared" si="145"/>
        <v/>
      </c>
      <c r="W348" s="41" t="str">
        <f t="shared" si="125"/>
        <v/>
      </c>
      <c r="Y348" s="35" t="str">
        <f t="shared" si="136"/>
        <v/>
      </c>
      <c r="Z348" s="34" t="str">
        <f t="shared" si="146"/>
        <v/>
      </c>
      <c r="AA348" s="34" t="str">
        <f t="shared" si="128"/>
        <v/>
      </c>
      <c r="AC348" s="36" t="str">
        <f t="shared" si="137"/>
        <v/>
      </c>
      <c r="AE348" s="37">
        <f t="shared" si="138"/>
        <v>0</v>
      </c>
      <c r="AG348" s="56" t="str">
        <f t="shared" si="147"/>
        <v/>
      </c>
      <c r="AH348" s="57" t="str">
        <f t="shared" si="139"/>
        <v/>
      </c>
      <c r="AI348" s="57" t="str">
        <f t="shared" si="148"/>
        <v/>
      </c>
      <c r="AJ348" s="57" t="str">
        <f t="shared" si="140"/>
        <v/>
      </c>
      <c r="AK348" s="57" t="str">
        <f t="shared" si="149"/>
        <v/>
      </c>
    </row>
    <row r="349" spans="1:37">
      <c r="A349" s="2" t="str">
        <f t="shared" si="141"/>
        <v/>
      </c>
      <c r="B349" s="10" t="str">
        <f t="shared" si="129"/>
        <v/>
      </c>
      <c r="C349" s="18" t="str">
        <f t="shared" si="130"/>
        <v/>
      </c>
      <c r="D349" s="4" t="str">
        <f t="shared" si="142"/>
        <v/>
      </c>
      <c r="E349" s="4" t="str">
        <f t="shared" si="131"/>
        <v/>
      </c>
      <c r="F349" s="4" t="str">
        <f t="shared" si="132"/>
        <v/>
      </c>
      <c r="G349" s="4" t="str">
        <f t="shared" si="133"/>
        <v/>
      </c>
      <c r="H349" s="4"/>
      <c r="I349" s="4"/>
      <c r="J349" s="4"/>
      <c r="K349" s="4"/>
      <c r="L349" s="4" t="str">
        <f>IF(A349="","",IF(ISERROR(VLOOKUP(A349,'pagos anticipados'!$A$2:$B$5,2,FALSE)),0,VLOOKUP(A349,'pagos anticipados'!$A$2:B347,2,FALSE)))</f>
        <v/>
      </c>
      <c r="M349" s="4" t="str">
        <f t="shared" si="126"/>
        <v/>
      </c>
      <c r="N349" s="1">
        <f t="shared" si="127"/>
        <v>0</v>
      </c>
      <c r="Q349" s="44" t="str">
        <f t="shared" si="134"/>
        <v/>
      </c>
      <c r="R349" s="44" t="str">
        <f t="shared" si="143"/>
        <v/>
      </c>
      <c r="S349" s="44" t="str">
        <f t="shared" si="135"/>
        <v/>
      </c>
      <c r="U349" s="42" t="str">
        <f t="shared" si="144"/>
        <v/>
      </c>
      <c r="V349" s="41" t="str">
        <f t="shared" si="145"/>
        <v/>
      </c>
      <c r="W349" s="41" t="str">
        <f t="shared" si="125"/>
        <v/>
      </c>
      <c r="Y349" s="35" t="str">
        <f t="shared" si="136"/>
        <v/>
      </c>
      <c r="Z349" s="34" t="str">
        <f t="shared" si="146"/>
        <v/>
      </c>
      <c r="AA349" s="34" t="str">
        <f t="shared" si="128"/>
        <v/>
      </c>
      <c r="AC349" s="36" t="str">
        <f t="shared" si="137"/>
        <v/>
      </c>
      <c r="AE349" s="37">
        <f t="shared" si="138"/>
        <v>0</v>
      </c>
      <c r="AG349" s="56" t="str">
        <f t="shared" si="147"/>
        <v/>
      </c>
      <c r="AH349" s="57" t="str">
        <f t="shared" si="139"/>
        <v/>
      </c>
      <c r="AI349" s="57" t="str">
        <f t="shared" si="148"/>
        <v/>
      </c>
      <c r="AJ349" s="57" t="str">
        <f t="shared" si="140"/>
        <v/>
      </c>
      <c r="AK349" s="57" t="str">
        <f t="shared" si="149"/>
        <v/>
      </c>
    </row>
    <row r="350" spans="1:37">
      <c r="A350" s="2" t="str">
        <f t="shared" si="141"/>
        <v/>
      </c>
      <c r="B350" s="10" t="str">
        <f t="shared" si="129"/>
        <v/>
      </c>
      <c r="C350" s="18" t="str">
        <f t="shared" si="130"/>
        <v/>
      </c>
      <c r="D350" s="4" t="str">
        <f t="shared" si="142"/>
        <v/>
      </c>
      <c r="E350" s="4" t="str">
        <f t="shared" si="131"/>
        <v/>
      </c>
      <c r="F350" s="4" t="str">
        <f t="shared" si="132"/>
        <v/>
      </c>
      <c r="G350" s="4" t="str">
        <f t="shared" si="133"/>
        <v/>
      </c>
      <c r="H350" s="4"/>
      <c r="I350" s="4"/>
      <c r="J350" s="4"/>
      <c r="K350" s="4"/>
      <c r="L350" s="4" t="str">
        <f>IF(A350="","",IF(ISERROR(VLOOKUP(A350,'pagos anticipados'!$A$2:$B$5,2,FALSE)),0,VLOOKUP(A350,'pagos anticipados'!$A$2:B348,2,FALSE)))</f>
        <v/>
      </c>
      <c r="M350" s="4" t="str">
        <f t="shared" si="126"/>
        <v/>
      </c>
      <c r="N350" s="1">
        <f t="shared" si="127"/>
        <v>0</v>
      </c>
      <c r="Q350" s="44" t="str">
        <f t="shared" si="134"/>
        <v/>
      </c>
      <c r="R350" s="44" t="str">
        <f t="shared" si="143"/>
        <v/>
      </c>
      <c r="S350" s="44" t="str">
        <f t="shared" si="135"/>
        <v/>
      </c>
      <c r="U350" s="42" t="str">
        <f t="shared" si="144"/>
        <v/>
      </c>
      <c r="V350" s="41" t="str">
        <f t="shared" si="145"/>
        <v/>
      </c>
      <c r="W350" s="41" t="str">
        <f t="shared" si="125"/>
        <v/>
      </c>
      <c r="Y350" s="35" t="str">
        <f t="shared" si="136"/>
        <v/>
      </c>
      <c r="Z350" s="34" t="str">
        <f t="shared" si="146"/>
        <v/>
      </c>
      <c r="AA350" s="34" t="str">
        <f t="shared" si="128"/>
        <v/>
      </c>
      <c r="AC350" s="36" t="str">
        <f t="shared" si="137"/>
        <v/>
      </c>
      <c r="AE350" s="37">
        <f t="shared" si="138"/>
        <v>0</v>
      </c>
      <c r="AG350" s="56" t="str">
        <f t="shared" si="147"/>
        <v/>
      </c>
      <c r="AH350" s="57" t="str">
        <f t="shared" si="139"/>
        <v/>
      </c>
      <c r="AI350" s="57" t="str">
        <f t="shared" si="148"/>
        <v/>
      </c>
      <c r="AJ350" s="57" t="str">
        <f t="shared" si="140"/>
        <v/>
      </c>
      <c r="AK350" s="57" t="str">
        <f t="shared" si="149"/>
        <v/>
      </c>
    </row>
    <row r="351" spans="1:37">
      <c r="A351" s="2" t="str">
        <f t="shared" si="141"/>
        <v/>
      </c>
      <c r="B351" s="10" t="str">
        <f t="shared" si="129"/>
        <v/>
      </c>
      <c r="C351" s="18" t="str">
        <f t="shared" si="130"/>
        <v/>
      </c>
      <c r="D351" s="4" t="str">
        <f t="shared" si="142"/>
        <v/>
      </c>
      <c r="E351" s="4" t="str">
        <f t="shared" si="131"/>
        <v/>
      </c>
      <c r="F351" s="4" t="str">
        <f t="shared" si="132"/>
        <v/>
      </c>
      <c r="G351" s="4" t="str">
        <f t="shared" si="133"/>
        <v/>
      </c>
      <c r="H351" s="4"/>
      <c r="I351" s="4"/>
      <c r="J351" s="4"/>
      <c r="K351" s="4"/>
      <c r="L351" s="4" t="str">
        <f>IF(A351="","",IF(ISERROR(VLOOKUP(A351,'pagos anticipados'!$A$2:$B$5,2,FALSE)),0,VLOOKUP(A351,'pagos anticipados'!$A$2:B349,2,FALSE)))</f>
        <v/>
      </c>
      <c r="M351" s="4" t="str">
        <f t="shared" si="126"/>
        <v/>
      </c>
      <c r="N351" s="1">
        <f t="shared" si="127"/>
        <v>0</v>
      </c>
      <c r="Q351" s="44" t="str">
        <f t="shared" si="134"/>
        <v/>
      </c>
      <c r="R351" s="44" t="str">
        <f t="shared" si="143"/>
        <v/>
      </c>
      <c r="S351" s="44" t="str">
        <f t="shared" si="135"/>
        <v/>
      </c>
      <c r="U351" s="42" t="str">
        <f t="shared" si="144"/>
        <v/>
      </c>
      <c r="V351" s="41" t="str">
        <f t="shared" si="145"/>
        <v/>
      </c>
      <c r="W351" s="41" t="str">
        <f t="shared" si="125"/>
        <v/>
      </c>
      <c r="Y351" s="35" t="str">
        <f t="shared" si="136"/>
        <v/>
      </c>
      <c r="Z351" s="34" t="str">
        <f t="shared" si="146"/>
        <v/>
      </c>
      <c r="AA351" s="34" t="str">
        <f t="shared" si="128"/>
        <v/>
      </c>
      <c r="AC351" s="36" t="str">
        <f t="shared" si="137"/>
        <v/>
      </c>
      <c r="AE351" s="37">
        <f t="shared" si="138"/>
        <v>0</v>
      </c>
      <c r="AG351" s="56" t="str">
        <f t="shared" si="147"/>
        <v/>
      </c>
      <c r="AH351" s="57" t="str">
        <f t="shared" si="139"/>
        <v/>
      </c>
      <c r="AI351" s="57" t="str">
        <f t="shared" si="148"/>
        <v/>
      </c>
      <c r="AJ351" s="57" t="str">
        <f t="shared" si="140"/>
        <v/>
      </c>
      <c r="AK351" s="57" t="str">
        <f t="shared" si="149"/>
        <v/>
      </c>
    </row>
    <row r="352" spans="1:37">
      <c r="A352" s="2" t="str">
        <f t="shared" si="141"/>
        <v/>
      </c>
      <c r="B352" s="10" t="str">
        <f t="shared" si="129"/>
        <v/>
      </c>
      <c r="C352" s="18" t="str">
        <f t="shared" si="130"/>
        <v/>
      </c>
      <c r="D352" s="4" t="str">
        <f t="shared" si="142"/>
        <v/>
      </c>
      <c r="E352" s="4" t="str">
        <f t="shared" si="131"/>
        <v/>
      </c>
      <c r="F352" s="4" t="str">
        <f t="shared" si="132"/>
        <v/>
      </c>
      <c r="G352" s="4" t="str">
        <f t="shared" si="133"/>
        <v/>
      </c>
      <c r="H352" s="4"/>
      <c r="I352" s="4"/>
      <c r="J352" s="4"/>
      <c r="K352" s="4"/>
      <c r="L352" s="4" t="str">
        <f>IF(A352="","",IF(ISERROR(VLOOKUP(A352,'pagos anticipados'!$A$2:$B$5,2,FALSE)),0,VLOOKUP(A352,'pagos anticipados'!$A$2:B350,2,FALSE)))</f>
        <v/>
      </c>
      <c r="M352" s="4" t="str">
        <f t="shared" si="126"/>
        <v/>
      </c>
      <c r="N352" s="1">
        <f t="shared" si="127"/>
        <v>0</v>
      </c>
      <c r="Q352" s="44" t="str">
        <f t="shared" si="134"/>
        <v/>
      </c>
      <c r="R352" s="44" t="str">
        <f t="shared" si="143"/>
        <v/>
      </c>
      <c r="S352" s="44" t="str">
        <f t="shared" si="135"/>
        <v/>
      </c>
      <c r="U352" s="42" t="str">
        <f t="shared" si="144"/>
        <v/>
      </c>
      <c r="V352" s="41" t="str">
        <f t="shared" si="145"/>
        <v/>
      </c>
      <c r="W352" s="41" t="str">
        <f t="shared" si="125"/>
        <v/>
      </c>
      <c r="Y352" s="35" t="str">
        <f t="shared" si="136"/>
        <v/>
      </c>
      <c r="Z352" s="34" t="str">
        <f t="shared" si="146"/>
        <v/>
      </c>
      <c r="AA352" s="34" t="str">
        <f t="shared" si="128"/>
        <v/>
      </c>
      <c r="AC352" s="36" t="str">
        <f t="shared" si="137"/>
        <v/>
      </c>
      <c r="AE352" s="37">
        <f t="shared" si="138"/>
        <v>0</v>
      </c>
      <c r="AG352" s="56" t="str">
        <f t="shared" si="147"/>
        <v/>
      </c>
      <c r="AH352" s="57" t="str">
        <f t="shared" si="139"/>
        <v/>
      </c>
      <c r="AI352" s="57" t="str">
        <f t="shared" si="148"/>
        <v/>
      </c>
      <c r="AJ352" s="57" t="str">
        <f t="shared" si="140"/>
        <v/>
      </c>
      <c r="AK352" s="57" t="str">
        <f t="shared" si="149"/>
        <v/>
      </c>
    </row>
    <row r="353" spans="1:37">
      <c r="A353" s="2" t="str">
        <f t="shared" si="141"/>
        <v/>
      </c>
      <c r="B353" s="10" t="str">
        <f t="shared" si="129"/>
        <v/>
      </c>
      <c r="C353" s="18" t="str">
        <f t="shared" si="130"/>
        <v/>
      </c>
      <c r="D353" s="4" t="str">
        <f t="shared" si="142"/>
        <v/>
      </c>
      <c r="E353" s="4" t="str">
        <f t="shared" si="131"/>
        <v/>
      </c>
      <c r="F353" s="4" t="str">
        <f t="shared" si="132"/>
        <v/>
      </c>
      <c r="G353" s="4" t="str">
        <f t="shared" si="133"/>
        <v/>
      </c>
      <c r="H353" s="4"/>
      <c r="I353" s="4"/>
      <c r="J353" s="4"/>
      <c r="K353" s="4"/>
      <c r="L353" s="4" t="str">
        <f>IF(A353="","",IF(ISERROR(VLOOKUP(A353,'pagos anticipados'!$A$2:$B$5,2,FALSE)),0,VLOOKUP(A353,'pagos anticipados'!$A$2:B351,2,FALSE)))</f>
        <v/>
      </c>
      <c r="M353" s="4" t="str">
        <f t="shared" si="126"/>
        <v/>
      </c>
      <c r="N353" s="1">
        <f t="shared" si="127"/>
        <v>0</v>
      </c>
      <c r="Q353" s="44" t="str">
        <f t="shared" si="134"/>
        <v/>
      </c>
      <c r="R353" s="44" t="str">
        <f t="shared" si="143"/>
        <v/>
      </c>
      <c r="S353" s="44" t="str">
        <f t="shared" si="135"/>
        <v/>
      </c>
      <c r="U353" s="42" t="str">
        <f t="shared" si="144"/>
        <v/>
      </c>
      <c r="V353" s="41" t="str">
        <f t="shared" si="145"/>
        <v/>
      </c>
      <c r="W353" s="41" t="str">
        <f t="shared" si="125"/>
        <v/>
      </c>
      <c r="Y353" s="35" t="str">
        <f t="shared" si="136"/>
        <v/>
      </c>
      <c r="Z353" s="34" t="str">
        <f t="shared" si="146"/>
        <v/>
      </c>
      <c r="AA353" s="34" t="str">
        <f t="shared" si="128"/>
        <v/>
      </c>
      <c r="AC353" s="36" t="str">
        <f t="shared" si="137"/>
        <v/>
      </c>
      <c r="AE353" s="37">
        <f t="shared" si="138"/>
        <v>0</v>
      </c>
      <c r="AG353" s="56" t="str">
        <f t="shared" si="147"/>
        <v/>
      </c>
      <c r="AH353" s="57" t="str">
        <f t="shared" si="139"/>
        <v/>
      </c>
      <c r="AI353" s="57" t="str">
        <f t="shared" si="148"/>
        <v/>
      </c>
      <c r="AJ353" s="57" t="str">
        <f t="shared" si="140"/>
        <v/>
      </c>
      <c r="AK353" s="57" t="str">
        <f t="shared" si="149"/>
        <v/>
      </c>
    </row>
    <row r="354" spans="1:37">
      <c r="A354" s="2" t="str">
        <f t="shared" si="141"/>
        <v/>
      </c>
      <c r="B354" s="10" t="str">
        <f t="shared" si="129"/>
        <v/>
      </c>
      <c r="C354" s="18" t="str">
        <f t="shared" si="130"/>
        <v/>
      </c>
      <c r="D354" s="4" t="str">
        <f t="shared" si="142"/>
        <v/>
      </c>
      <c r="E354" s="4" t="str">
        <f t="shared" si="131"/>
        <v/>
      </c>
      <c r="F354" s="4" t="str">
        <f t="shared" si="132"/>
        <v/>
      </c>
      <c r="G354" s="4" t="str">
        <f t="shared" si="133"/>
        <v/>
      </c>
      <c r="H354" s="4"/>
      <c r="I354" s="4"/>
      <c r="J354" s="4"/>
      <c r="K354" s="4"/>
      <c r="L354" s="4" t="str">
        <f>IF(A354="","",IF(ISERROR(VLOOKUP(A354,'pagos anticipados'!$A$2:$B$5,2,FALSE)),0,VLOOKUP(A354,'pagos anticipados'!$A$2:B352,2,FALSE)))</f>
        <v/>
      </c>
      <c r="M354" s="4" t="str">
        <f t="shared" si="126"/>
        <v/>
      </c>
      <c r="N354" s="1">
        <f t="shared" si="127"/>
        <v>0</v>
      </c>
      <c r="Q354" s="44" t="str">
        <f t="shared" si="134"/>
        <v/>
      </c>
      <c r="R354" s="44" t="str">
        <f t="shared" si="143"/>
        <v/>
      </c>
      <c r="S354" s="44" t="str">
        <f t="shared" si="135"/>
        <v/>
      </c>
      <c r="U354" s="42" t="str">
        <f t="shared" si="144"/>
        <v/>
      </c>
      <c r="V354" s="41" t="str">
        <f t="shared" si="145"/>
        <v/>
      </c>
      <c r="W354" s="41" t="str">
        <f t="shared" si="125"/>
        <v/>
      </c>
      <c r="Y354" s="35" t="str">
        <f t="shared" si="136"/>
        <v/>
      </c>
      <c r="Z354" s="34" t="str">
        <f t="shared" si="146"/>
        <v/>
      </c>
      <c r="AA354" s="34" t="str">
        <f t="shared" si="128"/>
        <v/>
      </c>
      <c r="AC354" s="36" t="str">
        <f t="shared" si="137"/>
        <v/>
      </c>
      <c r="AE354" s="37">
        <f t="shared" si="138"/>
        <v>0</v>
      </c>
      <c r="AG354" s="56" t="str">
        <f t="shared" si="147"/>
        <v/>
      </c>
      <c r="AH354" s="57" t="str">
        <f t="shared" si="139"/>
        <v/>
      </c>
      <c r="AI354" s="57" t="str">
        <f t="shared" si="148"/>
        <v/>
      </c>
      <c r="AJ354" s="57" t="str">
        <f t="shared" si="140"/>
        <v/>
      </c>
      <c r="AK354" s="57" t="str">
        <f t="shared" si="149"/>
        <v/>
      </c>
    </row>
    <row r="355" spans="1:37">
      <c r="A355" s="2" t="str">
        <f t="shared" si="141"/>
        <v/>
      </c>
      <c r="B355" s="10" t="str">
        <f t="shared" si="129"/>
        <v/>
      </c>
      <c r="C355" s="18" t="str">
        <f t="shared" si="130"/>
        <v/>
      </c>
      <c r="D355" s="4" t="str">
        <f t="shared" si="142"/>
        <v/>
      </c>
      <c r="E355" s="4" t="str">
        <f t="shared" si="131"/>
        <v/>
      </c>
      <c r="F355" s="4" t="str">
        <f t="shared" si="132"/>
        <v/>
      </c>
      <c r="G355" s="4" t="str">
        <f t="shared" si="133"/>
        <v/>
      </c>
      <c r="H355" s="4"/>
      <c r="I355" s="4"/>
      <c r="J355" s="4"/>
      <c r="K355" s="4"/>
      <c r="L355" s="4" t="str">
        <f>IF(A355="","",IF(ISERROR(VLOOKUP(A355,'pagos anticipados'!$A$2:$B$5,2,FALSE)),0,VLOOKUP(A355,'pagos anticipados'!$A$2:B353,2,FALSE)))</f>
        <v/>
      </c>
      <c r="M355" s="4" t="str">
        <f t="shared" si="126"/>
        <v/>
      </c>
      <c r="N355" s="1">
        <f t="shared" si="127"/>
        <v>0</v>
      </c>
      <c r="Q355" s="44" t="str">
        <f t="shared" si="134"/>
        <v/>
      </c>
      <c r="R355" s="44" t="str">
        <f t="shared" si="143"/>
        <v/>
      </c>
      <c r="S355" s="44" t="str">
        <f t="shared" si="135"/>
        <v/>
      </c>
      <c r="U355" s="42" t="str">
        <f t="shared" si="144"/>
        <v/>
      </c>
      <c r="V355" s="41" t="str">
        <f t="shared" si="145"/>
        <v/>
      </c>
      <c r="W355" s="41" t="str">
        <f t="shared" ref="W355:W366" si="150">IF(A355="","",IF(PAGO_FIJO&gt;R355,R355,PAGO_FIJO-V355))</f>
        <v/>
      </c>
      <c r="Y355" s="35" t="str">
        <f t="shared" si="136"/>
        <v/>
      </c>
      <c r="Z355" s="34" t="str">
        <f t="shared" si="146"/>
        <v/>
      </c>
      <c r="AA355" s="34" t="str">
        <f t="shared" si="128"/>
        <v/>
      </c>
      <c r="AC355" s="36" t="str">
        <f t="shared" si="137"/>
        <v/>
      </c>
      <c r="AE355" s="37">
        <f t="shared" si="138"/>
        <v>0</v>
      </c>
      <c r="AG355" s="56" t="str">
        <f t="shared" si="147"/>
        <v/>
      </c>
      <c r="AH355" s="57" t="str">
        <f t="shared" si="139"/>
        <v/>
      </c>
      <c r="AI355" s="57" t="str">
        <f t="shared" si="148"/>
        <v/>
      </c>
      <c r="AJ355" s="57" t="str">
        <f t="shared" si="140"/>
        <v/>
      </c>
      <c r="AK355" s="57" t="str">
        <f t="shared" si="149"/>
        <v/>
      </c>
    </row>
    <row r="356" spans="1:37">
      <c r="A356" s="2" t="str">
        <f t="shared" si="141"/>
        <v/>
      </c>
      <c r="B356" s="10" t="str">
        <f t="shared" si="129"/>
        <v/>
      </c>
      <c r="C356" s="18" t="str">
        <f t="shared" si="130"/>
        <v/>
      </c>
      <c r="D356" s="4" t="str">
        <f t="shared" si="142"/>
        <v/>
      </c>
      <c r="E356" s="4" t="str">
        <f t="shared" si="131"/>
        <v/>
      </c>
      <c r="F356" s="4" t="str">
        <f t="shared" si="132"/>
        <v/>
      </c>
      <c r="G356" s="4" t="str">
        <f t="shared" si="133"/>
        <v/>
      </c>
      <c r="H356" s="4"/>
      <c r="I356" s="4"/>
      <c r="J356" s="4"/>
      <c r="K356" s="4"/>
      <c r="L356" s="4" t="str">
        <f>IF(A356="","",IF(ISERROR(VLOOKUP(A356,'pagos anticipados'!$A$2:$B$5,2,FALSE)),0,VLOOKUP(A356,'pagos anticipados'!$A$2:B354,2,FALSE)))</f>
        <v/>
      </c>
      <c r="M356" s="4" t="str">
        <f t="shared" si="126"/>
        <v/>
      </c>
      <c r="N356" s="1">
        <f t="shared" si="127"/>
        <v>0</v>
      </c>
      <c r="Q356" s="44" t="str">
        <f t="shared" si="134"/>
        <v/>
      </c>
      <c r="R356" s="44" t="str">
        <f t="shared" si="143"/>
        <v/>
      </c>
      <c r="S356" s="44" t="str">
        <f t="shared" si="135"/>
        <v/>
      </c>
      <c r="U356" s="42" t="str">
        <f t="shared" si="144"/>
        <v/>
      </c>
      <c r="V356" s="41" t="str">
        <f t="shared" si="145"/>
        <v/>
      </c>
      <c r="W356" s="41" t="str">
        <f t="shared" si="150"/>
        <v/>
      </c>
      <c r="Y356" s="35" t="str">
        <f t="shared" si="136"/>
        <v/>
      </c>
      <c r="Z356" s="34" t="str">
        <f t="shared" si="146"/>
        <v/>
      </c>
      <c r="AA356" s="34" t="str">
        <f t="shared" si="128"/>
        <v/>
      </c>
      <c r="AC356" s="36" t="str">
        <f t="shared" si="137"/>
        <v/>
      </c>
      <c r="AE356" s="37">
        <f t="shared" si="138"/>
        <v>0</v>
      </c>
      <c r="AG356" s="56" t="str">
        <f t="shared" si="147"/>
        <v/>
      </c>
      <c r="AH356" s="57" t="str">
        <f t="shared" si="139"/>
        <v/>
      </c>
      <c r="AI356" s="57" t="str">
        <f t="shared" si="148"/>
        <v/>
      </c>
      <c r="AJ356" s="57" t="str">
        <f t="shared" si="140"/>
        <v/>
      </c>
      <c r="AK356" s="57" t="str">
        <f t="shared" si="149"/>
        <v/>
      </c>
    </row>
    <row r="357" spans="1:37">
      <c r="A357" s="2" t="str">
        <f t="shared" si="141"/>
        <v/>
      </c>
      <c r="B357" s="10" t="str">
        <f t="shared" si="129"/>
        <v/>
      </c>
      <c r="C357" s="18" t="str">
        <f t="shared" si="130"/>
        <v/>
      </c>
      <c r="D357" s="4" t="str">
        <f t="shared" si="142"/>
        <v/>
      </c>
      <c r="E357" s="4" t="str">
        <f t="shared" si="131"/>
        <v/>
      </c>
      <c r="F357" s="4" t="str">
        <f t="shared" si="132"/>
        <v/>
      </c>
      <c r="G357" s="4" t="str">
        <f t="shared" si="133"/>
        <v/>
      </c>
      <c r="H357" s="4"/>
      <c r="I357" s="4"/>
      <c r="J357" s="4"/>
      <c r="K357" s="4"/>
      <c r="L357" s="4" t="str">
        <f>IF(A357="","",IF(ISERROR(VLOOKUP(A357,'pagos anticipados'!$A$2:$B$5,2,FALSE)),0,VLOOKUP(A357,'pagos anticipados'!$A$2:B355,2,FALSE)))</f>
        <v/>
      </c>
      <c r="M357" s="4" t="str">
        <f t="shared" si="126"/>
        <v/>
      </c>
      <c r="N357" s="1">
        <f t="shared" si="127"/>
        <v>0</v>
      </c>
      <c r="Q357" s="44" t="str">
        <f t="shared" si="134"/>
        <v/>
      </c>
      <c r="R357" s="44" t="str">
        <f t="shared" si="143"/>
        <v/>
      </c>
      <c r="S357" s="44" t="str">
        <f t="shared" si="135"/>
        <v/>
      </c>
      <c r="U357" s="42" t="str">
        <f t="shared" si="144"/>
        <v/>
      </c>
      <c r="V357" s="41" t="str">
        <f t="shared" si="145"/>
        <v/>
      </c>
      <c r="W357" s="41" t="str">
        <f t="shared" si="150"/>
        <v/>
      </c>
      <c r="Y357" s="35" t="str">
        <f t="shared" si="136"/>
        <v/>
      </c>
      <c r="Z357" s="34" t="str">
        <f t="shared" si="146"/>
        <v/>
      </c>
      <c r="AA357" s="34" t="str">
        <f t="shared" si="128"/>
        <v/>
      </c>
      <c r="AC357" s="36" t="str">
        <f t="shared" si="137"/>
        <v/>
      </c>
      <c r="AE357" s="37">
        <f t="shared" si="138"/>
        <v>0</v>
      </c>
      <c r="AG357" s="56" t="str">
        <f t="shared" si="147"/>
        <v/>
      </c>
      <c r="AH357" s="57" t="str">
        <f t="shared" si="139"/>
        <v/>
      </c>
      <c r="AI357" s="57" t="str">
        <f t="shared" si="148"/>
        <v/>
      </c>
      <c r="AJ357" s="57" t="str">
        <f t="shared" si="140"/>
        <v/>
      </c>
      <c r="AK357" s="57" t="str">
        <f t="shared" si="149"/>
        <v/>
      </c>
    </row>
    <row r="358" spans="1:37">
      <c r="A358" s="2" t="str">
        <f t="shared" si="141"/>
        <v/>
      </c>
      <c r="B358" s="10" t="str">
        <f t="shared" si="129"/>
        <v/>
      </c>
      <c r="C358" s="18" t="str">
        <f t="shared" si="130"/>
        <v/>
      </c>
      <c r="D358" s="4" t="str">
        <f t="shared" si="142"/>
        <v/>
      </c>
      <c r="E358" s="4" t="str">
        <f t="shared" si="131"/>
        <v/>
      </c>
      <c r="F358" s="4" t="str">
        <f t="shared" si="132"/>
        <v/>
      </c>
      <c r="G358" s="4" t="str">
        <f t="shared" si="133"/>
        <v/>
      </c>
      <c r="H358" s="4"/>
      <c r="I358" s="4"/>
      <c r="J358" s="4"/>
      <c r="K358" s="4"/>
      <c r="L358" s="4" t="str">
        <f>IF(A358="","",IF(ISERROR(VLOOKUP(A358,'pagos anticipados'!$A$2:$B$5,2,FALSE)),0,VLOOKUP(A358,'pagos anticipados'!$A$2:B356,2,FALSE)))</f>
        <v/>
      </c>
      <c r="M358" s="4" t="str">
        <f t="shared" si="126"/>
        <v/>
      </c>
      <c r="N358" s="1">
        <f t="shared" si="127"/>
        <v>0</v>
      </c>
      <c r="Q358" s="44" t="str">
        <f t="shared" si="134"/>
        <v/>
      </c>
      <c r="R358" s="44" t="str">
        <f t="shared" si="143"/>
        <v/>
      </c>
      <c r="S358" s="44" t="str">
        <f t="shared" si="135"/>
        <v/>
      </c>
      <c r="U358" s="42" t="str">
        <f t="shared" si="144"/>
        <v/>
      </c>
      <c r="V358" s="41" t="str">
        <f t="shared" si="145"/>
        <v/>
      </c>
      <c r="W358" s="41" t="str">
        <f t="shared" si="150"/>
        <v/>
      </c>
      <c r="Y358" s="35" t="str">
        <f t="shared" si="136"/>
        <v/>
      </c>
      <c r="Z358" s="34" t="str">
        <f t="shared" si="146"/>
        <v/>
      </c>
      <c r="AA358" s="34" t="str">
        <f t="shared" si="128"/>
        <v/>
      </c>
      <c r="AC358" s="36" t="str">
        <f t="shared" si="137"/>
        <v/>
      </c>
      <c r="AE358" s="37">
        <f t="shared" si="138"/>
        <v>0</v>
      </c>
      <c r="AG358" s="56" t="str">
        <f t="shared" si="147"/>
        <v/>
      </c>
      <c r="AH358" s="57" t="str">
        <f t="shared" si="139"/>
        <v/>
      </c>
      <c r="AI358" s="57" t="str">
        <f t="shared" si="148"/>
        <v/>
      </c>
      <c r="AJ358" s="57" t="str">
        <f t="shared" si="140"/>
        <v/>
      </c>
      <c r="AK358" s="57" t="str">
        <f t="shared" si="149"/>
        <v/>
      </c>
    </row>
    <row r="359" spans="1:37">
      <c r="A359" s="2" t="str">
        <f t="shared" si="141"/>
        <v/>
      </c>
      <c r="B359" s="10" t="str">
        <f t="shared" si="129"/>
        <v/>
      </c>
      <c r="C359" s="18" t="str">
        <f t="shared" si="130"/>
        <v/>
      </c>
      <c r="D359" s="4" t="str">
        <f t="shared" si="142"/>
        <v/>
      </c>
      <c r="E359" s="4" t="str">
        <f t="shared" si="131"/>
        <v/>
      </c>
      <c r="F359" s="4" t="str">
        <f t="shared" si="132"/>
        <v/>
      </c>
      <c r="G359" s="4" t="str">
        <f t="shared" si="133"/>
        <v/>
      </c>
      <c r="H359" s="4"/>
      <c r="I359" s="4"/>
      <c r="J359" s="4"/>
      <c r="K359" s="4"/>
      <c r="L359" s="4" t="str">
        <f>IF(A359="","",IF(ISERROR(VLOOKUP(A359,'pagos anticipados'!$A$2:$B$5,2,FALSE)),0,VLOOKUP(A359,'pagos anticipados'!$A$2:B357,2,FALSE)))</f>
        <v/>
      </c>
      <c r="M359" s="4" t="str">
        <f t="shared" si="126"/>
        <v/>
      </c>
      <c r="N359" s="1">
        <f t="shared" si="127"/>
        <v>0</v>
      </c>
      <c r="Q359" s="44" t="str">
        <f t="shared" si="134"/>
        <v/>
      </c>
      <c r="R359" s="44" t="str">
        <f t="shared" si="143"/>
        <v/>
      </c>
      <c r="S359" s="44" t="str">
        <f t="shared" si="135"/>
        <v/>
      </c>
      <c r="U359" s="42" t="str">
        <f t="shared" si="144"/>
        <v/>
      </c>
      <c r="V359" s="41" t="str">
        <f t="shared" si="145"/>
        <v/>
      </c>
      <c r="W359" s="41" t="str">
        <f t="shared" si="150"/>
        <v/>
      </c>
      <c r="Y359" s="35" t="str">
        <f t="shared" si="136"/>
        <v/>
      </c>
      <c r="Z359" s="34" t="str">
        <f t="shared" si="146"/>
        <v/>
      </c>
      <c r="AA359" s="34" t="str">
        <f t="shared" si="128"/>
        <v/>
      </c>
      <c r="AC359" s="36" t="str">
        <f t="shared" si="137"/>
        <v/>
      </c>
      <c r="AE359" s="37">
        <f t="shared" si="138"/>
        <v>0</v>
      </c>
      <c r="AG359" s="56" t="str">
        <f t="shared" si="147"/>
        <v/>
      </c>
      <c r="AH359" s="57" t="str">
        <f t="shared" si="139"/>
        <v/>
      </c>
      <c r="AI359" s="57" t="str">
        <f t="shared" si="148"/>
        <v/>
      </c>
      <c r="AJ359" s="57" t="str">
        <f t="shared" si="140"/>
        <v/>
      </c>
      <c r="AK359" s="57" t="str">
        <f t="shared" si="149"/>
        <v/>
      </c>
    </row>
    <row r="360" spans="1:37">
      <c r="A360" s="2" t="str">
        <f t="shared" si="141"/>
        <v/>
      </c>
      <c r="B360" s="10" t="str">
        <f t="shared" si="129"/>
        <v/>
      </c>
      <c r="C360" s="18" t="str">
        <f t="shared" si="130"/>
        <v/>
      </c>
      <c r="D360" s="4" t="str">
        <f t="shared" si="142"/>
        <v/>
      </c>
      <c r="E360" s="4" t="str">
        <f t="shared" si="131"/>
        <v/>
      </c>
      <c r="F360" s="4" t="str">
        <f t="shared" si="132"/>
        <v/>
      </c>
      <c r="G360" s="4" t="str">
        <f t="shared" si="133"/>
        <v/>
      </c>
      <c r="H360" s="4"/>
      <c r="I360" s="4"/>
      <c r="J360" s="4"/>
      <c r="K360" s="4"/>
      <c r="L360" s="4" t="str">
        <f>IF(A360="","",IF(ISERROR(VLOOKUP(A360,'pagos anticipados'!$A$2:$B$5,2,FALSE)),0,VLOOKUP(A360,'pagos anticipados'!$A$2:B358,2,FALSE)))</f>
        <v/>
      </c>
      <c r="M360" s="4" t="str">
        <f t="shared" si="126"/>
        <v/>
      </c>
      <c r="N360" s="1">
        <f t="shared" si="127"/>
        <v>0</v>
      </c>
      <c r="Q360" s="44" t="str">
        <f t="shared" si="134"/>
        <v/>
      </c>
      <c r="R360" s="44" t="str">
        <f t="shared" si="143"/>
        <v/>
      </c>
      <c r="S360" s="44" t="str">
        <f t="shared" si="135"/>
        <v/>
      </c>
      <c r="U360" s="42" t="str">
        <f t="shared" si="144"/>
        <v/>
      </c>
      <c r="V360" s="41" t="str">
        <f t="shared" si="145"/>
        <v/>
      </c>
      <c r="W360" s="41" t="str">
        <f t="shared" si="150"/>
        <v/>
      </c>
      <c r="Y360" s="35" t="str">
        <f t="shared" si="136"/>
        <v/>
      </c>
      <c r="Z360" s="34" t="str">
        <f t="shared" si="146"/>
        <v/>
      </c>
      <c r="AA360" s="34" t="str">
        <f t="shared" si="128"/>
        <v/>
      </c>
      <c r="AC360" s="36" t="str">
        <f t="shared" si="137"/>
        <v/>
      </c>
      <c r="AE360" s="37">
        <f t="shared" si="138"/>
        <v>0</v>
      </c>
      <c r="AG360" s="56" t="str">
        <f t="shared" si="147"/>
        <v/>
      </c>
      <c r="AH360" s="57" t="str">
        <f t="shared" si="139"/>
        <v/>
      </c>
      <c r="AI360" s="57" t="str">
        <f t="shared" si="148"/>
        <v/>
      </c>
      <c r="AJ360" s="57" t="str">
        <f t="shared" si="140"/>
        <v/>
      </c>
      <c r="AK360" s="57" t="str">
        <f t="shared" si="149"/>
        <v/>
      </c>
    </row>
    <row r="361" spans="1:37">
      <c r="A361" s="2" t="str">
        <f t="shared" si="141"/>
        <v/>
      </c>
      <c r="B361" s="10" t="str">
        <f t="shared" si="129"/>
        <v/>
      </c>
      <c r="C361" s="18" t="str">
        <f t="shared" si="130"/>
        <v/>
      </c>
      <c r="D361" s="4" t="str">
        <f t="shared" si="142"/>
        <v/>
      </c>
      <c r="E361" s="4" t="str">
        <f t="shared" si="131"/>
        <v/>
      </c>
      <c r="F361" s="4" t="str">
        <f t="shared" si="132"/>
        <v/>
      </c>
      <c r="G361" s="4" t="str">
        <f t="shared" si="133"/>
        <v/>
      </c>
      <c r="H361" s="4"/>
      <c r="I361" s="4"/>
      <c r="J361" s="4"/>
      <c r="K361" s="4"/>
      <c r="L361" s="4" t="str">
        <f>IF(A361="","",IF(ISERROR(VLOOKUP(A361,'pagos anticipados'!$A$2:$B$5,2,FALSE)),0,VLOOKUP(A361,'pagos anticipados'!$A$2:B359,2,FALSE)))</f>
        <v/>
      </c>
      <c r="M361" s="4" t="str">
        <f t="shared" si="126"/>
        <v/>
      </c>
      <c r="N361" s="1">
        <f t="shared" si="127"/>
        <v>0</v>
      </c>
      <c r="Q361" s="44" t="str">
        <f t="shared" si="134"/>
        <v/>
      </c>
      <c r="R361" s="44" t="str">
        <f t="shared" si="143"/>
        <v/>
      </c>
      <c r="S361" s="44" t="str">
        <f t="shared" si="135"/>
        <v/>
      </c>
      <c r="U361" s="42" t="str">
        <f t="shared" si="144"/>
        <v/>
      </c>
      <c r="V361" s="41" t="str">
        <f t="shared" si="145"/>
        <v/>
      </c>
      <c r="W361" s="41" t="str">
        <f t="shared" si="150"/>
        <v/>
      </c>
      <c r="Y361" s="35" t="str">
        <f t="shared" si="136"/>
        <v/>
      </c>
      <c r="Z361" s="34" t="str">
        <f t="shared" si="146"/>
        <v/>
      </c>
      <c r="AA361" s="34" t="str">
        <f t="shared" si="128"/>
        <v/>
      </c>
      <c r="AC361" s="36" t="str">
        <f t="shared" si="137"/>
        <v/>
      </c>
      <c r="AE361" s="37">
        <f t="shared" si="138"/>
        <v>0</v>
      </c>
      <c r="AG361" s="56" t="str">
        <f t="shared" si="147"/>
        <v/>
      </c>
      <c r="AH361" s="57" t="str">
        <f t="shared" si="139"/>
        <v/>
      </c>
      <c r="AI361" s="57" t="str">
        <f t="shared" si="148"/>
        <v/>
      </c>
      <c r="AJ361" s="57" t="str">
        <f t="shared" si="140"/>
        <v/>
      </c>
      <c r="AK361" s="57" t="str">
        <f t="shared" si="149"/>
        <v/>
      </c>
    </row>
    <row r="362" spans="1:37">
      <c r="A362" s="2" t="str">
        <f t="shared" si="141"/>
        <v/>
      </c>
      <c r="B362" s="10" t="str">
        <f t="shared" si="129"/>
        <v/>
      </c>
      <c r="C362" s="18" t="str">
        <f t="shared" si="130"/>
        <v/>
      </c>
      <c r="D362" s="4" t="str">
        <f t="shared" si="142"/>
        <v/>
      </c>
      <c r="E362" s="4" t="str">
        <f t="shared" si="131"/>
        <v/>
      </c>
      <c r="F362" s="4" t="str">
        <f t="shared" si="132"/>
        <v/>
      </c>
      <c r="G362" s="4" t="str">
        <f t="shared" si="133"/>
        <v/>
      </c>
      <c r="H362" s="4"/>
      <c r="I362" s="4"/>
      <c r="J362" s="4"/>
      <c r="K362" s="4"/>
      <c r="L362" s="4" t="str">
        <f>IF(A362="","",IF(ISERROR(VLOOKUP(A362,'pagos anticipados'!$A$2:$B$5,2,FALSE)),0,VLOOKUP(A362,'pagos anticipados'!$A$2:B360,2,FALSE)))</f>
        <v/>
      </c>
      <c r="M362" s="4" t="str">
        <f t="shared" si="126"/>
        <v/>
      </c>
      <c r="N362" s="1">
        <f t="shared" si="127"/>
        <v>0</v>
      </c>
      <c r="Q362" s="44" t="str">
        <f t="shared" si="134"/>
        <v/>
      </c>
      <c r="R362" s="44" t="str">
        <f t="shared" si="143"/>
        <v/>
      </c>
      <c r="S362" s="44" t="str">
        <f t="shared" si="135"/>
        <v/>
      </c>
      <c r="U362" s="42" t="str">
        <f t="shared" si="144"/>
        <v/>
      </c>
      <c r="V362" s="41" t="str">
        <f t="shared" si="145"/>
        <v/>
      </c>
      <c r="W362" s="41" t="str">
        <f t="shared" si="150"/>
        <v/>
      </c>
      <c r="Y362" s="35" t="str">
        <f t="shared" si="136"/>
        <v/>
      </c>
      <c r="Z362" s="34" t="str">
        <f t="shared" si="146"/>
        <v/>
      </c>
      <c r="AA362" s="34" t="str">
        <f t="shared" si="128"/>
        <v/>
      </c>
      <c r="AC362" s="36" t="str">
        <f t="shared" si="137"/>
        <v/>
      </c>
      <c r="AE362" s="37">
        <f t="shared" si="138"/>
        <v>0</v>
      </c>
      <c r="AG362" s="56" t="str">
        <f t="shared" si="147"/>
        <v/>
      </c>
      <c r="AH362" s="57" t="str">
        <f t="shared" si="139"/>
        <v/>
      </c>
      <c r="AI362" s="57" t="str">
        <f t="shared" si="148"/>
        <v/>
      </c>
      <c r="AJ362" s="57" t="str">
        <f t="shared" si="140"/>
        <v/>
      </c>
      <c r="AK362" s="57" t="str">
        <f t="shared" si="149"/>
        <v/>
      </c>
    </row>
    <row r="363" spans="1:37">
      <c r="A363" s="2" t="str">
        <f t="shared" si="141"/>
        <v/>
      </c>
      <c r="B363" s="10" t="str">
        <f t="shared" si="129"/>
        <v/>
      </c>
      <c r="C363" s="18" t="str">
        <f t="shared" si="130"/>
        <v/>
      </c>
      <c r="D363" s="4" t="str">
        <f t="shared" si="142"/>
        <v/>
      </c>
      <c r="E363" s="4" t="str">
        <f t="shared" si="131"/>
        <v/>
      </c>
      <c r="F363" s="4" t="str">
        <f t="shared" si="132"/>
        <v/>
      </c>
      <c r="G363" s="4" t="str">
        <f t="shared" si="133"/>
        <v/>
      </c>
      <c r="H363" s="4"/>
      <c r="I363" s="4"/>
      <c r="J363" s="4"/>
      <c r="K363" s="4"/>
      <c r="L363" s="4" t="str">
        <f>IF(A363="","",IF(ISERROR(VLOOKUP(A363,'pagos anticipados'!$A$2:$B$5,2,FALSE)),0,VLOOKUP(A363,'pagos anticipados'!$A$2:B361,2,FALSE)))</f>
        <v/>
      </c>
      <c r="M363" s="4" t="str">
        <f t="shared" si="126"/>
        <v/>
      </c>
      <c r="N363" s="1">
        <f t="shared" si="127"/>
        <v>0</v>
      </c>
      <c r="Q363" s="44" t="str">
        <f t="shared" si="134"/>
        <v/>
      </c>
      <c r="R363" s="44" t="str">
        <f t="shared" si="143"/>
        <v/>
      </c>
      <c r="S363" s="44" t="str">
        <f t="shared" si="135"/>
        <v/>
      </c>
      <c r="U363" s="42" t="str">
        <f t="shared" si="144"/>
        <v/>
      </c>
      <c r="V363" s="41" t="str">
        <f t="shared" si="145"/>
        <v/>
      </c>
      <c r="W363" s="41" t="str">
        <f t="shared" si="150"/>
        <v/>
      </c>
      <c r="Y363" s="35" t="str">
        <f t="shared" si="136"/>
        <v/>
      </c>
      <c r="Z363" s="34" t="str">
        <f t="shared" si="146"/>
        <v/>
      </c>
      <c r="AA363" s="34" t="str">
        <f t="shared" si="128"/>
        <v/>
      </c>
      <c r="AC363" s="36" t="str">
        <f t="shared" si="137"/>
        <v/>
      </c>
      <c r="AE363" s="37">
        <f t="shared" si="138"/>
        <v>0</v>
      </c>
      <c r="AG363" s="56" t="str">
        <f t="shared" si="147"/>
        <v/>
      </c>
      <c r="AH363" s="57" t="str">
        <f t="shared" si="139"/>
        <v/>
      </c>
      <c r="AI363" s="57" t="str">
        <f t="shared" si="148"/>
        <v/>
      </c>
      <c r="AJ363" s="57" t="str">
        <f t="shared" si="140"/>
        <v/>
      </c>
      <c r="AK363" s="57" t="str">
        <f t="shared" si="149"/>
        <v/>
      </c>
    </row>
    <row r="364" spans="1:37">
      <c r="A364" s="2" t="str">
        <f t="shared" si="141"/>
        <v/>
      </c>
      <c r="B364" s="10" t="str">
        <f t="shared" si="129"/>
        <v/>
      </c>
      <c r="C364" s="18" t="str">
        <f t="shared" si="130"/>
        <v/>
      </c>
      <c r="D364" s="4" t="str">
        <f t="shared" si="142"/>
        <v/>
      </c>
      <c r="E364" s="4" t="str">
        <f t="shared" si="131"/>
        <v/>
      </c>
      <c r="F364" s="4" t="str">
        <f t="shared" si="132"/>
        <v/>
      </c>
      <c r="G364" s="4" t="str">
        <f t="shared" si="133"/>
        <v/>
      </c>
      <c r="H364" s="4"/>
      <c r="I364" s="4"/>
      <c r="J364" s="4"/>
      <c r="K364" s="4"/>
      <c r="L364" s="4" t="str">
        <f>IF(A364="","",IF(ISERROR(VLOOKUP(A364,'pagos anticipados'!$A$2:$B$5,2,FALSE)),0,VLOOKUP(A364,'pagos anticipados'!$A$2:B362,2,FALSE)))</f>
        <v/>
      </c>
      <c r="M364" s="4" t="str">
        <f t="shared" si="126"/>
        <v/>
      </c>
      <c r="N364" s="1">
        <f t="shared" si="127"/>
        <v>0</v>
      </c>
      <c r="Q364" s="44" t="str">
        <f t="shared" si="134"/>
        <v/>
      </c>
      <c r="R364" s="44" t="str">
        <f t="shared" si="143"/>
        <v/>
      </c>
      <c r="S364" s="44" t="str">
        <f t="shared" si="135"/>
        <v/>
      </c>
      <c r="U364" s="42" t="str">
        <f t="shared" si="144"/>
        <v/>
      </c>
      <c r="V364" s="41" t="str">
        <f t="shared" si="145"/>
        <v/>
      </c>
      <c r="W364" s="41" t="str">
        <f t="shared" si="150"/>
        <v/>
      </c>
      <c r="Y364" s="35" t="str">
        <f t="shared" si="136"/>
        <v/>
      </c>
      <c r="Z364" s="34" t="str">
        <f t="shared" si="146"/>
        <v/>
      </c>
      <c r="AA364" s="34" t="str">
        <f t="shared" si="128"/>
        <v/>
      </c>
      <c r="AC364" s="36" t="str">
        <f t="shared" si="137"/>
        <v/>
      </c>
      <c r="AE364" s="37">
        <f t="shared" si="138"/>
        <v>0</v>
      </c>
      <c r="AG364" s="56" t="str">
        <f t="shared" si="147"/>
        <v/>
      </c>
      <c r="AH364" s="57" t="str">
        <f t="shared" si="139"/>
        <v/>
      </c>
      <c r="AI364" s="57" t="str">
        <f t="shared" si="148"/>
        <v/>
      </c>
      <c r="AJ364" s="57" t="str">
        <f t="shared" si="140"/>
        <v/>
      </c>
      <c r="AK364" s="57" t="str">
        <f t="shared" si="149"/>
        <v/>
      </c>
    </row>
    <row r="365" spans="1:37">
      <c r="A365" s="2" t="str">
        <f t="shared" si="141"/>
        <v/>
      </c>
      <c r="B365" s="10" t="str">
        <f t="shared" si="129"/>
        <v/>
      </c>
      <c r="C365" s="18" t="str">
        <f t="shared" si="130"/>
        <v/>
      </c>
      <c r="D365" s="4" t="str">
        <f t="shared" si="142"/>
        <v/>
      </c>
      <c r="E365" s="4" t="str">
        <f t="shared" si="131"/>
        <v/>
      </c>
      <c r="F365" s="4" t="str">
        <f t="shared" si="132"/>
        <v/>
      </c>
      <c r="G365" s="4" t="str">
        <f t="shared" si="133"/>
        <v/>
      </c>
      <c r="H365" s="4"/>
      <c r="I365" s="4"/>
      <c r="J365" s="4"/>
      <c r="K365" s="4"/>
      <c r="L365" s="4" t="str">
        <f>IF(A365="","",IF(ISERROR(VLOOKUP(A365,'pagos anticipados'!$A$2:$B$5,2,FALSE)),0,VLOOKUP(A365,'pagos anticipados'!$A$2:B363,2,FALSE)))</f>
        <v/>
      </c>
      <c r="M365" s="4" t="str">
        <f t="shared" si="126"/>
        <v/>
      </c>
      <c r="N365" s="1">
        <f t="shared" si="127"/>
        <v>0</v>
      </c>
      <c r="Q365" s="44" t="str">
        <f t="shared" si="134"/>
        <v/>
      </c>
      <c r="R365" s="44" t="str">
        <f t="shared" si="143"/>
        <v/>
      </c>
      <c r="S365" s="44" t="str">
        <f t="shared" si="135"/>
        <v/>
      </c>
      <c r="U365" s="42" t="str">
        <f t="shared" si="144"/>
        <v/>
      </c>
      <c r="V365" s="41" t="str">
        <f t="shared" si="145"/>
        <v/>
      </c>
      <c r="W365" s="41" t="str">
        <f t="shared" si="150"/>
        <v/>
      </c>
      <c r="Y365" s="35" t="str">
        <f t="shared" si="136"/>
        <v/>
      </c>
      <c r="Z365" s="34" t="str">
        <f t="shared" si="146"/>
        <v/>
      </c>
      <c r="AA365" s="34" t="str">
        <f t="shared" si="128"/>
        <v/>
      </c>
      <c r="AC365" s="36" t="str">
        <f t="shared" si="137"/>
        <v/>
      </c>
      <c r="AE365" s="37">
        <f t="shared" si="138"/>
        <v>0</v>
      </c>
      <c r="AG365" s="56" t="str">
        <f t="shared" si="147"/>
        <v/>
      </c>
      <c r="AH365" s="57" t="str">
        <f t="shared" si="139"/>
        <v/>
      </c>
      <c r="AI365" s="57" t="str">
        <f t="shared" si="148"/>
        <v/>
      </c>
      <c r="AJ365" s="57" t="str">
        <f t="shared" si="140"/>
        <v/>
      </c>
      <c r="AK365" s="57" t="str">
        <f t="shared" si="149"/>
        <v/>
      </c>
    </row>
    <row r="366" spans="1:37">
      <c r="A366" s="2" t="str">
        <f t="shared" si="141"/>
        <v/>
      </c>
      <c r="B366" s="10" t="str">
        <f t="shared" si="129"/>
        <v/>
      </c>
      <c r="C366" s="18" t="str">
        <f t="shared" si="130"/>
        <v/>
      </c>
      <c r="D366" s="4" t="str">
        <f t="shared" si="142"/>
        <v/>
      </c>
      <c r="E366" s="4" t="str">
        <f t="shared" si="131"/>
        <v/>
      </c>
      <c r="F366" s="4" t="str">
        <f t="shared" si="132"/>
        <v/>
      </c>
      <c r="G366" s="4" t="str">
        <f t="shared" si="133"/>
        <v/>
      </c>
      <c r="H366" s="3"/>
      <c r="I366" s="3"/>
      <c r="J366" s="3"/>
      <c r="K366" s="3"/>
      <c r="L366" s="4" t="str">
        <f>IF(A366="","",IF(ISERROR(VLOOKUP(A366,'pagos anticipados'!$A$2:$B$5,2,FALSE)),0,VLOOKUP(A366,'pagos anticipados'!$A$2:B364,2,FALSE)))</f>
        <v/>
      </c>
      <c r="M366" s="4" t="str">
        <f t="shared" si="126"/>
        <v/>
      </c>
      <c r="N366" s="1">
        <f t="shared" si="127"/>
        <v>0</v>
      </c>
      <c r="Q366" s="44" t="str">
        <f t="shared" si="134"/>
        <v/>
      </c>
      <c r="R366" s="44" t="str">
        <f t="shared" si="143"/>
        <v/>
      </c>
      <c r="S366" s="44" t="str">
        <f t="shared" si="135"/>
        <v/>
      </c>
      <c r="U366" s="42" t="str">
        <f t="shared" si="144"/>
        <v/>
      </c>
      <c r="V366" s="41" t="str">
        <f t="shared" si="145"/>
        <v/>
      </c>
      <c r="W366" s="41" t="str">
        <f t="shared" si="150"/>
        <v/>
      </c>
      <c r="Y366" s="35" t="str">
        <f t="shared" si="136"/>
        <v/>
      </c>
      <c r="Z366" s="34" t="str">
        <f t="shared" si="146"/>
        <v/>
      </c>
      <c r="AA366" s="34" t="str">
        <f t="shared" si="128"/>
        <v/>
      </c>
      <c r="AC366" s="36" t="str">
        <f t="shared" si="137"/>
        <v/>
      </c>
      <c r="AE366" s="37">
        <f t="shared" si="138"/>
        <v>0</v>
      </c>
      <c r="AG366" s="56" t="str">
        <f t="shared" si="147"/>
        <v/>
      </c>
      <c r="AH366" s="57" t="str">
        <f t="shared" si="139"/>
        <v/>
      </c>
      <c r="AI366" s="57" t="str">
        <f t="shared" si="148"/>
        <v/>
      </c>
      <c r="AJ366" s="57" t="str">
        <f t="shared" si="140"/>
        <v/>
      </c>
      <c r="AK366" s="57" t="str">
        <f t="shared" si="149"/>
        <v/>
      </c>
    </row>
    <row r="367" spans="1:37" s="5" customFormat="1">
      <c r="A367" s="6"/>
      <c r="B367" s="6"/>
      <c r="C367" s="16"/>
      <c r="D367" s="7"/>
      <c r="E367" s="7"/>
      <c r="F367" s="7"/>
      <c r="G367" s="7"/>
      <c r="H367" s="7"/>
      <c r="I367" s="7"/>
      <c r="J367" s="7"/>
      <c r="K367" s="7"/>
      <c r="L367" s="7"/>
      <c r="M367" s="7"/>
      <c r="Q367" s="44"/>
      <c r="R367" s="46"/>
      <c r="S367" s="46"/>
      <c r="U367" s="41"/>
      <c r="V367" s="41"/>
      <c r="W367" s="41"/>
      <c r="Y367" s="34"/>
      <c r="Z367" s="34"/>
      <c r="AA367" s="34"/>
      <c r="AC367" s="36"/>
      <c r="AE367" s="37"/>
      <c r="AG367" s="56" t="str">
        <f t="shared" si="147"/>
        <v/>
      </c>
      <c r="AH367" s="57" t="str">
        <f t="shared" si="139"/>
        <v/>
      </c>
      <c r="AI367" s="57" t="str">
        <f t="shared" si="148"/>
        <v/>
      </c>
      <c r="AJ367" s="57" t="str">
        <f t="shared" si="140"/>
        <v/>
      </c>
      <c r="AK367" s="57" t="str">
        <f t="shared" si="149"/>
        <v/>
      </c>
    </row>
    <row r="368" spans="1:37" s="5" customFormat="1" ht="13.5">
      <c r="A368" s="93" t="s">
        <v>24</v>
      </c>
      <c r="B368" s="94"/>
      <c r="C368" s="94"/>
      <c r="D368" s="95"/>
      <c r="E368" s="8">
        <f>SUM(E7:E367)</f>
        <v>0</v>
      </c>
      <c r="F368" s="8">
        <f t="shared" ref="F368:M368" si="151">SUM(F7:F367)</f>
        <v>616.66666666666663</v>
      </c>
      <c r="G368" s="8">
        <f t="shared" si="151"/>
        <v>98.666666666666657</v>
      </c>
      <c r="H368" s="8">
        <f t="shared" si="151"/>
        <v>0</v>
      </c>
      <c r="I368" s="8">
        <f t="shared" si="151"/>
        <v>0</v>
      </c>
      <c r="J368" s="8">
        <f t="shared" si="151"/>
        <v>0</v>
      </c>
      <c r="K368" s="8">
        <f t="shared" si="151"/>
        <v>0</v>
      </c>
      <c r="L368" s="8">
        <f t="shared" si="151"/>
        <v>0</v>
      </c>
      <c r="M368" s="8">
        <f t="shared" si="151"/>
        <v>10388.832177145761</v>
      </c>
      <c r="N368" s="8">
        <f>SUM(N6:N367)</f>
        <v>1.6742887964937836E-8</v>
      </c>
      <c r="Q368" s="47">
        <f>SUM(Q7:Q367)</f>
        <v>10388.832177145761</v>
      </c>
      <c r="R368" s="46"/>
      <c r="S368" s="47">
        <f>SUM(S7:S367)</f>
        <v>0</v>
      </c>
      <c r="U368" s="41"/>
      <c r="V368" s="43">
        <f>SUM(V7:V367)</f>
        <v>453.72375484227052</v>
      </c>
      <c r="W368" s="43">
        <f>SUM(W7:W367)</f>
        <v>9898.6549039801903</v>
      </c>
      <c r="Y368" s="34"/>
      <c r="Z368" s="40">
        <f>SUM(Z7:Z367)</f>
        <v>10451.045325489127</v>
      </c>
      <c r="AA368" s="40">
        <f>SUM(AA7:AA367)</f>
        <v>9735.7119921557951</v>
      </c>
      <c r="AC368" s="39">
        <f>SUM(AC7:AC367)</f>
        <v>9637.045325489129</v>
      </c>
      <c r="AE368" s="38">
        <f>SUM(AE7:AE367)</f>
        <v>4</v>
      </c>
      <c r="AG368" s="56"/>
      <c r="AH368" s="57"/>
      <c r="AI368" s="57"/>
      <c r="AJ368" s="57"/>
      <c r="AK368" s="57"/>
    </row>
    <row r="369" spans="17:37">
      <c r="Q369" s="1" t="str">
        <f t="shared" ref="Q369:Q372" si="152">IF(A369="","",PAGO_FIJO)</f>
        <v/>
      </c>
      <c r="AG369" s="58"/>
      <c r="AH369" s="58">
        <f>SUM(AH8:AH368)</f>
        <v>388.83217714576148</v>
      </c>
      <c r="AI369" s="58">
        <f>SUM(AI8:AI368)</f>
        <v>10000</v>
      </c>
      <c r="AJ369" s="58">
        <f>SUM(AJ8:AJ368)</f>
        <v>62.213148343321841</v>
      </c>
      <c r="AK369" s="58">
        <f>SUM(AK8:AK368)</f>
        <v>10451.045325489084</v>
      </c>
    </row>
    <row r="370" spans="17:37">
      <c r="Q370" s="1" t="str">
        <f t="shared" si="152"/>
        <v/>
      </c>
    </row>
    <row r="371" spans="17:37" ht="51">
      <c r="Q371" s="1" t="str">
        <f t="shared" si="152"/>
        <v/>
      </c>
      <c r="R371" s="9" t="s">
        <v>18</v>
      </c>
      <c r="S371" s="9" t="s">
        <v>26</v>
      </c>
      <c r="T371" s="11" t="s">
        <v>47</v>
      </c>
      <c r="U371" s="11" t="s">
        <v>59</v>
      </c>
      <c r="V371" s="11" t="s">
        <v>48</v>
      </c>
      <c r="W371" s="11" t="s">
        <v>49</v>
      </c>
      <c r="X371" s="11" t="s">
        <v>50</v>
      </c>
      <c r="Y371" s="11" t="s">
        <v>51</v>
      </c>
      <c r="Z371" s="11" t="s">
        <v>52</v>
      </c>
      <c r="AA371" s="11" t="s">
        <v>53</v>
      </c>
      <c r="AB371" s="11" t="s">
        <v>54</v>
      </c>
    </row>
    <row r="372" spans="17:37">
      <c r="Q372" s="1" t="str">
        <f t="shared" si="152"/>
        <v/>
      </c>
      <c r="R372" s="29">
        <f>+O5</f>
        <v>0.51533329757716873</v>
      </c>
      <c r="S372" s="31">
        <f>+P5</f>
        <v>1.6742887964937836E-8</v>
      </c>
      <c r="T372" s="31">
        <f>+AK8</f>
        <v>2612.7613313722818</v>
      </c>
      <c r="U372" s="31">
        <f>+E2*(1+I.V.A.)</f>
        <v>57.999999999999993</v>
      </c>
      <c r="V372" s="32">
        <f>+Total_pagos-AE368</f>
        <v>0</v>
      </c>
      <c r="W372" s="32">
        <f>+AE368</f>
        <v>4</v>
      </c>
      <c r="X372" s="30">
        <f>+AI369</f>
        <v>10000</v>
      </c>
      <c r="Y372" s="30">
        <f>+AH369</f>
        <v>388.83217714576148</v>
      </c>
      <c r="Z372" s="30">
        <f>+AJ369</f>
        <v>62.213148343321841</v>
      </c>
      <c r="AA372" s="33">
        <f>+AK369</f>
        <v>10451.045325489084</v>
      </c>
      <c r="AB372" s="33">
        <f>+L368</f>
        <v>0</v>
      </c>
    </row>
  </sheetData>
  <mergeCells count="30">
    <mergeCell ref="L3:L5"/>
    <mergeCell ref="AB3:AB5"/>
    <mergeCell ref="AC3:AC5"/>
    <mergeCell ref="AD3:AD5"/>
    <mergeCell ref="AE3:AE5"/>
    <mergeCell ref="Z3:Z5"/>
    <mergeCell ref="AA3:AA5"/>
    <mergeCell ref="Q3:Q5"/>
    <mergeCell ref="Y3:Y5"/>
    <mergeCell ref="N3:N5"/>
    <mergeCell ref="M3:M5"/>
    <mergeCell ref="R3:R5"/>
    <mergeCell ref="S3:S5"/>
    <mergeCell ref="W3:W5"/>
    <mergeCell ref="V3:V5"/>
    <mergeCell ref="U3:U5"/>
    <mergeCell ref="A368:D368"/>
    <mergeCell ref="E3:E5"/>
    <mergeCell ref="F3:F5"/>
    <mergeCell ref="G3:G5"/>
    <mergeCell ref="A3:A5"/>
    <mergeCell ref="B3:B5"/>
    <mergeCell ref="C3:C5"/>
    <mergeCell ref="D3:D5"/>
    <mergeCell ref="AK4:AK6"/>
    <mergeCell ref="AG3:AK3"/>
    <mergeCell ref="AG4:AG6"/>
    <mergeCell ref="AH4:AH6"/>
    <mergeCell ref="AI4:AI6"/>
    <mergeCell ref="AJ4:AJ6"/>
  </mergeCells>
  <phoneticPr fontId="0" type="noConversion"/>
  <printOptions horizontalCentered="1"/>
  <pageMargins left="0.75" right="0.75" top="1" bottom="1" header="0" footer="0"/>
  <pageSetup scale="64" fitToHeight="4" orientation="landscape" r:id="rId1"/>
  <headerFooter alignWithMargins="0">
    <oddFooter>&amp;L&amp;F
&amp;A&amp;C&amp;P de &amp;N&amp;R&amp;D
&amp;T</oddFoot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15" baseType="lpstr">
      <vt:lpstr>bd_origen</vt:lpstr>
      <vt:lpstr>pagos anticipados</vt:lpstr>
      <vt:lpstr>Tabla_CAT</vt:lpstr>
      <vt:lpstr>BD_DESTINO_INICIO</vt:lpstr>
      <vt:lpstr>BD_ORIGEN_INICIO</vt:lpstr>
      <vt:lpstr>I.V.A.</vt:lpstr>
      <vt:lpstr>No_pagos_al_año</vt:lpstr>
      <vt:lpstr>PAGO_FIJO</vt:lpstr>
      <vt:lpstr>Plazo_en_años</vt:lpstr>
      <vt:lpstr>Tabla_CAT!Print_Area</vt:lpstr>
      <vt:lpstr>Tabla_CAT!Print_Titles</vt:lpstr>
      <vt:lpstr>RESULTADO_CALCULOS</vt:lpstr>
      <vt:lpstr>Tasa_anual_sin_iva</vt:lpstr>
      <vt:lpstr>Tasa_del_período_sin_iva</vt:lpstr>
      <vt:lpstr>Total_pagos</vt:lpstr>
    </vt:vector>
  </TitlesOfParts>
  <Company>Grupo Financiero Banorte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A0000885</dc:creator>
  <cp:lastModifiedBy>MAS</cp:lastModifiedBy>
  <cp:lastPrinted>2008-02-22T17:06:33Z</cp:lastPrinted>
  <dcterms:created xsi:type="dcterms:W3CDTF">2008-02-20T19:41:53Z</dcterms:created>
  <dcterms:modified xsi:type="dcterms:W3CDTF">2015-09-11T18:01:26Z</dcterms:modified>
</cp:coreProperties>
</file>