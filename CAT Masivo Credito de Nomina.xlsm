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DATA IN" sheetId="2" r:id="rId1"/>
    <sheet name="DATA OUT" sheetId="3" r:id="rId2"/>
    <sheet name="CAT Revolvente" sheetId="1" r:id="rId3"/>
  </sheets>
  <definedNames>
    <definedName name="__Capital" localSheetId="2">'CAT Revolvente'!$H$8:$H$65536</definedName>
    <definedName name="__Comisión" localSheetId="2">'CAT Revolvente'!$L$8:$L$65536</definedName>
    <definedName name="__Disposición" localSheetId="2">'CAT Revolvente'!$K$8:$K$65536</definedName>
    <definedName name="__FlujosCAT" localSheetId="2">'CAT Revolvente'!$M$8:$M$65536</definedName>
    <definedName name="__Interés" localSheetId="2">'CAT Revolvente'!$F$8:$F$65536</definedName>
    <definedName name="__Iva" localSheetId="2">'CAT Revolvente'!$G$8:$G$65536</definedName>
    <definedName name="__Pago" localSheetId="2">'CAT Revolvente'!$I$8:$I$65536</definedName>
    <definedName name="__Periodo" localSheetId="2">'CAT Revolvente'!$D$8:$D$65536</definedName>
    <definedName name="__Saldo" localSheetId="2">'CAT Revolvente'!$E$8:$E$65536</definedName>
    <definedName name="__SaldoFinal" localSheetId="2">'CAT Revolvente'!$N$8:$N$65536</definedName>
    <definedName name="__SaldoPostPago" localSheetId="2">'CAT Revolvente'!$J$8:$J$65536</definedName>
    <definedName name="_Años_Revolvencia" localSheetId="2">'CAT Revolvente'!$B$23</definedName>
    <definedName name="_Capital_Pago" localSheetId="2">'CAT Revolvente'!$B$31</definedName>
    <definedName name="_Comisión_Redisposición" localSheetId="2">'CAT Revolvente'!$B$11</definedName>
    <definedName name="_Comisiones_Iniciales" localSheetId="2">'CAT Revolvente'!$B$10</definedName>
    <definedName name="_Corte_Revolvencia" localSheetId="2">'CAT Revolvente'!$B$27</definedName>
    <definedName name="_Dias_en_Año" localSheetId="2">'CAT Revolvente'!$B$15</definedName>
    <definedName name="_Dias_por_Periodo" localSheetId="2">'CAT Revolvente'!$B$21</definedName>
    <definedName name="_Interés_Pago" localSheetId="2">'CAT Revolvente'!$B$32</definedName>
    <definedName name="_Irr_Flujos" localSheetId="2">'CAT Revolvente'!$Q$7</definedName>
    <definedName name="_Meses_En_Año" localSheetId="2">'CAT Revolvente'!$B$14</definedName>
    <definedName name="_Monto_Línea" localSheetId="2">'CAT Revolvente'!$B$7</definedName>
    <definedName name="_Num_Periodos" localSheetId="2">'CAT Revolvente'!$B$30</definedName>
    <definedName name="_Pago_Fijo" localSheetId="2">'CAT Revolvente'!$B$33</definedName>
    <definedName name="_Periodos_por_Año" localSheetId="2">'CAT Revolvente'!$B$20</definedName>
    <definedName name="_Plazo_En_Meses" localSheetId="2">'CAT Revolvente'!$B$12</definedName>
    <definedName name="_Tasa_Anual" localSheetId="2">'CAT Revolvente'!$B$8</definedName>
    <definedName name="_Tasa_IVA_Interes" localSheetId="2">'CAT Revolvente'!$B$9</definedName>
    <definedName name="_Tasa_Nivelada" localSheetId="2">'CAT Revolvente'!$B$29</definedName>
    <definedName name="CAT" localSheetId="2">'CAT Revolvente'!$Q$8</definedName>
    <definedName name="CAT">'DATA OUT'!$I:$I</definedName>
    <definedName name="Comisión_IN">'DATA IN'!$C:$C</definedName>
    <definedName name="ETIQUETA_FRECUENCIA" comment="Fórmula.">VLOOKUP(ID_FRECUENCIA,C_FRECUENCIAS,COL_DESC,0)</definedName>
    <definedName name="ETIQUETA_PERIODO" comment="Fórmula.">VLOOKUP(ID_FRECUENCIA,C_FRECUENCIAS,COL_NOMBRE_PERIODO,0)</definedName>
    <definedName name="Frecuencia_IN">'DATA IN'!$H:$H</definedName>
    <definedName name="ID_IN">'DATA IN'!$A:$A</definedName>
    <definedName name="IVA_IN">'DATA IN'!$G:$G</definedName>
    <definedName name="Monto_IN">'DATA IN'!$D:$D</definedName>
    <definedName name="Plazo_IN">'DATA IN'!$F:$F</definedName>
    <definedName name="SIC_IN">'DATA IN'!$B:$B</definedName>
    <definedName name="Tasa_IN">'DATA IN'!$E:$E</definedName>
  </definedNames>
  <calcPr calcId="125725"/>
</workbook>
</file>

<file path=xl/calcChain.xml><?xml version="1.0" encoding="utf-8"?>
<calcChain xmlns="http://schemas.openxmlformats.org/spreadsheetml/2006/main">
  <c r="A2" i="3"/>
  <c r="A3" s="1"/>
  <c r="A4" s="1"/>
  <c r="B27" i="1" l="1"/>
  <c r="K8" s="1"/>
  <c r="N8" s="1"/>
  <c r="E9" s="1"/>
  <c r="B29"/>
  <c r="B32" s="1"/>
  <c r="B30"/>
  <c r="L8"/>
  <c r="B31" l="1"/>
  <c r="B33" s="1"/>
  <c r="M8"/>
  <c r="F9" l="1"/>
  <c r="G9" l="1"/>
  <c r="H9" s="1"/>
  <c r="J9" l="1"/>
  <c r="I9"/>
  <c r="K9" l="1"/>
  <c r="L9" s="1"/>
  <c r="M9" l="1"/>
  <c r="N9"/>
  <c r="E10" s="1"/>
  <c r="F10" s="1"/>
  <c r="G10" l="1"/>
  <c r="H10" s="1"/>
  <c r="J10" l="1"/>
  <c r="I10"/>
  <c r="K10" l="1"/>
  <c r="L10" s="1"/>
  <c r="M10" l="1"/>
  <c r="N10"/>
  <c r="E11" s="1"/>
  <c r="F11" l="1"/>
  <c r="G11" l="1"/>
  <c r="H11" s="1"/>
  <c r="J11" s="1"/>
  <c r="I11" l="1"/>
  <c r="K11"/>
  <c r="L11" s="1"/>
  <c r="M11" l="1"/>
  <c r="N11"/>
  <c r="E12" s="1"/>
  <c r="F12" l="1"/>
  <c r="G12" l="1"/>
  <c r="H12" s="1"/>
  <c r="J12" l="1"/>
  <c r="I12"/>
  <c r="K12" l="1"/>
  <c r="L12" s="1"/>
  <c r="M12" l="1"/>
  <c r="N12"/>
  <c r="E13" s="1"/>
  <c r="F13" l="1"/>
  <c r="G13" l="1"/>
  <c r="H13" s="1"/>
  <c r="J13" s="1"/>
  <c r="K13" l="1"/>
  <c r="L13" s="1"/>
  <c r="I13"/>
  <c r="M13" l="1"/>
  <c r="N13"/>
  <c r="E14" s="1"/>
  <c r="F14" s="1"/>
  <c r="G14" l="1"/>
  <c r="H14" s="1"/>
  <c r="J14" s="1"/>
  <c r="K14" l="1"/>
  <c r="L14" s="1"/>
  <c r="I14"/>
  <c r="M14" l="1"/>
  <c r="N14"/>
  <c r="E15" s="1"/>
  <c r="F15" s="1"/>
  <c r="G15" l="1"/>
  <c r="H15" s="1"/>
  <c r="J15" s="1"/>
  <c r="K15" l="1"/>
  <c r="L15" s="1"/>
  <c r="I15"/>
  <c r="M15" l="1"/>
  <c r="N15"/>
  <c r="E16" s="1"/>
  <c r="F16" s="1"/>
  <c r="G16" l="1"/>
  <c r="H16" s="1"/>
  <c r="J16" l="1"/>
  <c r="I16"/>
  <c r="K16" l="1"/>
  <c r="L16" s="1"/>
  <c r="M16" l="1"/>
  <c r="N16"/>
  <c r="E17" s="1"/>
  <c r="F17" s="1"/>
  <c r="G17" l="1"/>
  <c r="H17" s="1"/>
  <c r="J17" s="1"/>
  <c r="K17" l="1"/>
  <c r="L17" s="1"/>
  <c r="I17"/>
  <c r="M17" l="1"/>
  <c r="N17"/>
  <c r="E18" s="1"/>
  <c r="F18" l="1"/>
  <c r="G18" l="1"/>
  <c r="H18" s="1"/>
  <c r="J18" s="1"/>
  <c r="K18" l="1"/>
  <c r="L18" s="1"/>
  <c r="I18"/>
  <c r="M18" l="1"/>
  <c r="N18"/>
  <c r="E19" s="1"/>
  <c r="F19" s="1"/>
  <c r="G19" l="1"/>
  <c r="H19" s="1"/>
  <c r="J19" s="1"/>
  <c r="K19" l="1"/>
  <c r="L19" s="1"/>
  <c r="I19"/>
  <c r="M19" l="1"/>
  <c r="N19"/>
  <c r="E20" s="1"/>
  <c r="F20" s="1"/>
  <c r="G20" l="1"/>
  <c r="H20" s="1"/>
  <c r="J20" s="1"/>
  <c r="I20" l="1"/>
  <c r="K20"/>
  <c r="L20" s="1"/>
  <c r="M20" l="1"/>
  <c r="N20"/>
  <c r="E21" s="1"/>
  <c r="F21" l="1"/>
  <c r="G21" l="1"/>
  <c r="H21" s="1"/>
  <c r="J21" s="1"/>
  <c r="I21" l="1"/>
  <c r="K21"/>
  <c r="L21" s="1"/>
  <c r="N21" l="1"/>
  <c r="E22" s="1"/>
  <c r="M21"/>
  <c r="F22" l="1"/>
  <c r="G22" l="1"/>
  <c r="H22" s="1"/>
  <c r="J22" s="1"/>
  <c r="I22" l="1"/>
  <c r="K22"/>
  <c r="L22" s="1"/>
  <c r="M22" l="1"/>
  <c r="N22"/>
  <c r="E23" s="1"/>
  <c r="F23" l="1"/>
  <c r="G23" l="1"/>
  <c r="H23" s="1"/>
  <c r="J23" s="1"/>
  <c r="K23" l="1"/>
  <c r="L23" s="1"/>
  <c r="I23"/>
  <c r="M23" l="1"/>
  <c r="N23"/>
  <c r="E24" s="1"/>
  <c r="F24" l="1"/>
  <c r="G24" l="1"/>
  <c r="H24" s="1"/>
  <c r="J24" s="1"/>
  <c r="K24" l="1"/>
  <c r="L24" s="1"/>
  <c r="I24"/>
  <c r="M24" l="1"/>
  <c r="N24"/>
  <c r="E25" s="1"/>
  <c r="F25" s="1"/>
  <c r="G25" l="1"/>
  <c r="H25" s="1"/>
  <c r="J25" s="1"/>
  <c r="K25" l="1"/>
  <c r="L25" s="1"/>
  <c r="I25"/>
  <c r="M25" l="1"/>
  <c r="N25"/>
  <c r="E26" s="1"/>
  <c r="F26" s="1"/>
  <c r="G26" l="1"/>
  <c r="H26" s="1"/>
  <c r="J26" l="1"/>
  <c r="I26"/>
  <c r="K26" l="1"/>
  <c r="L26" s="1"/>
  <c r="M26" l="1"/>
  <c r="N26"/>
  <c r="E27" s="1"/>
  <c r="F27" l="1"/>
  <c r="G27" l="1"/>
  <c r="H27" s="1"/>
  <c r="J27" s="1"/>
  <c r="K27" l="1"/>
  <c r="L27" s="1"/>
  <c r="I27"/>
  <c r="M27" l="1"/>
  <c r="N27"/>
  <c r="E28" s="1"/>
  <c r="F28" s="1"/>
  <c r="G28" l="1"/>
  <c r="H28" s="1"/>
  <c r="J28" s="1"/>
  <c r="K28" l="1"/>
  <c r="L28" s="1"/>
  <c r="I28"/>
  <c r="M28" l="1"/>
  <c r="N28"/>
  <c r="E29" s="1"/>
  <c r="F29" l="1"/>
  <c r="G29" l="1"/>
  <c r="H29" s="1"/>
  <c r="J29" s="1"/>
  <c r="I29" l="1"/>
  <c r="K29"/>
  <c r="L29" s="1"/>
  <c r="M29" l="1"/>
  <c r="N29"/>
  <c r="E30" s="1"/>
  <c r="F30" l="1"/>
  <c r="G30" l="1"/>
  <c r="H30" s="1"/>
  <c r="J30" l="1"/>
  <c r="I30"/>
  <c r="K30" l="1"/>
  <c r="L30" s="1"/>
  <c r="M30" l="1"/>
  <c r="N30"/>
  <c r="E31" s="1"/>
  <c r="F31" s="1"/>
  <c r="G31" l="1"/>
  <c r="H31" s="1"/>
  <c r="J31" l="1"/>
  <c r="I31"/>
  <c r="K31" l="1"/>
  <c r="L31" s="1"/>
  <c r="M31" l="1"/>
  <c r="N31"/>
  <c r="E32" s="1"/>
  <c r="F32" l="1"/>
  <c r="G32" l="1"/>
  <c r="H32" s="1"/>
  <c r="J32" s="1"/>
  <c r="I32" l="1"/>
  <c r="K32"/>
  <c r="L32" s="1"/>
  <c r="M32" l="1"/>
  <c r="N32"/>
  <c r="E33" s="1"/>
  <c r="F33" l="1"/>
  <c r="G33" l="1"/>
  <c r="H33" s="1"/>
  <c r="J33" l="1"/>
  <c r="I33"/>
  <c r="K33" l="1"/>
  <c r="L33" s="1"/>
  <c r="M33" l="1"/>
  <c r="N33"/>
  <c r="E34" s="1"/>
  <c r="F34" l="1"/>
  <c r="G34" l="1"/>
  <c r="H34" s="1"/>
  <c r="J34" l="1"/>
  <c r="I34"/>
  <c r="K34" l="1"/>
  <c r="L34" s="1"/>
  <c r="M34" l="1"/>
  <c r="N34"/>
  <c r="E35" s="1"/>
  <c r="F35" l="1"/>
  <c r="G35" l="1"/>
  <c r="H35" s="1"/>
  <c r="J35" s="1"/>
  <c r="I35" l="1"/>
  <c r="K35"/>
  <c r="L35" s="1"/>
  <c r="M35" l="1"/>
  <c r="N35"/>
  <c r="E36" s="1"/>
  <c r="F36" l="1"/>
  <c r="G36" l="1"/>
  <c r="H36" s="1"/>
  <c r="J36" l="1"/>
  <c r="I36"/>
  <c r="K36" l="1"/>
  <c r="L36" s="1"/>
  <c r="N36" l="1"/>
  <c r="E37" s="1"/>
  <c r="M36"/>
  <c r="F37" l="1"/>
  <c r="G37" l="1"/>
  <c r="H37" s="1"/>
  <c r="J37" s="1"/>
  <c r="K37" l="1"/>
  <c r="L37" s="1"/>
  <c r="I37"/>
  <c r="M37" l="1"/>
  <c r="N37"/>
  <c r="E38" s="1"/>
  <c r="F38" s="1"/>
  <c r="G38" l="1"/>
  <c r="H38" s="1"/>
  <c r="J38" l="1"/>
  <c r="I38"/>
  <c r="K38" l="1"/>
  <c r="L38" s="1"/>
  <c r="M38" l="1"/>
  <c r="N38"/>
  <c r="E39" s="1"/>
  <c r="F39" s="1"/>
  <c r="G39" l="1"/>
  <c r="H39" s="1"/>
  <c r="J39" s="1"/>
  <c r="K39" l="1"/>
  <c r="L39" s="1"/>
  <c r="I39"/>
  <c r="M39" l="1"/>
  <c r="N39"/>
  <c r="E40" s="1"/>
  <c r="F40" l="1"/>
  <c r="G40" l="1"/>
  <c r="H40" s="1"/>
  <c r="J40" l="1"/>
  <c r="I40"/>
  <c r="K40" l="1"/>
  <c r="L40" s="1"/>
  <c r="N40" l="1"/>
  <c r="E41" s="1"/>
  <c r="M40"/>
  <c r="F41" l="1"/>
  <c r="G41" l="1"/>
  <c r="H41" s="1"/>
  <c r="J41" s="1"/>
  <c r="I41" l="1"/>
  <c r="K41"/>
  <c r="L41" s="1"/>
  <c r="N41" l="1"/>
  <c r="E42" s="1"/>
  <c r="M41"/>
  <c r="F42" l="1"/>
  <c r="G42" l="1"/>
  <c r="H42" s="1"/>
  <c r="J42" l="1"/>
  <c r="I42"/>
  <c r="K42" l="1"/>
  <c r="L42" s="1"/>
  <c r="M42" l="1"/>
  <c r="N42"/>
  <c r="E43" s="1"/>
  <c r="F43" l="1"/>
  <c r="G43" l="1"/>
  <c r="H43" s="1"/>
  <c r="J43" s="1"/>
  <c r="K43" l="1"/>
  <c r="L43" s="1"/>
  <c r="I43"/>
  <c r="M43" l="1"/>
  <c r="N43"/>
  <c r="E44" s="1"/>
  <c r="F44" s="1"/>
  <c r="G44" l="1"/>
  <c r="H44" s="1"/>
  <c r="J44" s="1"/>
  <c r="I44" l="1"/>
  <c r="K44"/>
  <c r="L44" s="1"/>
  <c r="N44" l="1"/>
  <c r="M44"/>
  <c r="Q7" l="1"/>
  <c r="Q8" l="1"/>
  <c r="E4" s="1"/>
</calcChain>
</file>

<file path=xl/sharedStrings.xml><?xml version="1.0" encoding="utf-8"?>
<sst xmlns="http://schemas.openxmlformats.org/spreadsheetml/2006/main" count="60" uniqueCount="50">
  <si>
    <t>CAT REVOLVENTE</t>
  </si>
  <si>
    <t>v1.0</t>
  </si>
  <si>
    <t>Parámetros</t>
  </si>
  <si>
    <t>Tabla de Flujos</t>
  </si>
  <si>
    <t>CAT</t>
  </si>
  <si>
    <t>Monto Línea Crédito</t>
  </si>
  <si>
    <t>Periodo</t>
  </si>
  <si>
    <t>Saldo</t>
  </si>
  <si>
    <t>Interés</t>
  </si>
  <si>
    <t>Iva</t>
  </si>
  <si>
    <t>Capital</t>
  </si>
  <si>
    <t>Pago</t>
  </si>
  <si>
    <t>Saldo PostPago</t>
  </si>
  <si>
    <t>Disposición</t>
  </si>
  <si>
    <t>Comisión</t>
  </si>
  <si>
    <t>Flujo</t>
  </si>
  <si>
    <t>Saldo Final</t>
  </si>
  <si>
    <t>IRR</t>
  </si>
  <si>
    <t>Tasa Anual</t>
  </si>
  <si>
    <t>Tasa IVA Interes</t>
  </si>
  <si>
    <t>Comisiones Iniciales</t>
  </si>
  <si>
    <t>Comisión redisp</t>
  </si>
  <si>
    <t>Plazo en Meses</t>
  </si>
  <si>
    <t xml:space="preserve"> </t>
  </si>
  <si>
    <t>Meses En Año</t>
  </si>
  <si>
    <t>Dias en Año</t>
  </si>
  <si>
    <t>Constantes</t>
  </si>
  <si>
    <t>Frecuencia CAT:</t>
  </si>
  <si>
    <t>Mensual</t>
  </si>
  <si>
    <t>Periodos por Año</t>
  </si>
  <si>
    <t>Días por Periodo</t>
  </si>
  <si>
    <t>Años Revolvencia</t>
  </si>
  <si>
    <t>Cálculos</t>
  </si>
  <si>
    <t>Corte Revolvencia</t>
  </si>
  <si>
    <t>Tasa Nivelada</t>
  </si>
  <si>
    <t>Num Periodos (Pago)</t>
  </si>
  <si>
    <t>Capital Pago CAT</t>
  </si>
  <si>
    <t>Interés Pago CAT</t>
  </si>
  <si>
    <t>Pago CAT</t>
  </si>
  <si>
    <t>SIC</t>
  </si>
  <si>
    <t>COMISION_APERTURA</t>
  </si>
  <si>
    <t>MONTO</t>
  </si>
  <si>
    <t>TASA_OK</t>
  </si>
  <si>
    <t>PLAZO_OK</t>
  </si>
  <si>
    <t>IVA</t>
  </si>
  <si>
    <t>FRECUENCIA_PAGO</t>
  </si>
  <si>
    <t>SEMANAL</t>
  </si>
  <si>
    <t>QUINCENAL</t>
  </si>
  <si>
    <t>COMISIÓN_APERTURA</t>
  </si>
  <si>
    <t>ID</t>
  </si>
</sst>
</file>

<file path=xl/styles.xml><?xml version="1.0" encoding="utf-8"?>
<styleSheet xmlns="http://schemas.openxmlformats.org/spreadsheetml/2006/main">
  <numFmts count="9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_ ;[Red]\-#,##0.00\ "/>
    <numFmt numFmtId="165" formatCode="0.0%"/>
    <numFmt numFmtId="166" formatCode="0_ ;[Red]\-0\ "/>
    <numFmt numFmtId="167" formatCode="_-[$€-2]* #,##0.00_-;\-[$€-2]* #,##0.00_-;_-[$€-2]* &quot;-&quot;??_-"/>
    <numFmt numFmtId="168" formatCode="&quot;$&quot;#,##0.00"/>
    <numFmt numFmtId="169" formatCode="_-* #,##0_-;\-* #,##0_-;_-* &quot;-&quot;??_-;_-@_-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b/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Up">
        <fgColor theme="6" tint="0.3999450666829432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lightUp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9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2" fillId="0" borderId="1" applyNumberFormat="0" applyFill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" fillId="0" borderId="0"/>
    <xf numFmtId="0" fontId="6" fillId="0" borderId="0"/>
    <xf numFmtId="0" fontId="8" fillId="0" borderId="0"/>
    <xf numFmtId="0" fontId="6" fillId="0" borderId="0"/>
    <xf numFmtId="0" fontId="6" fillId="0" borderId="0"/>
    <xf numFmtId="0" fontId="1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0" fillId="2" borderId="0" xfId="0" applyFill="1"/>
    <xf numFmtId="0" fontId="3" fillId="3" borderId="0" xfId="0" applyFont="1" applyFill="1"/>
    <xf numFmtId="0" fontId="0" fillId="3" borderId="0" xfId="0" applyFill="1"/>
    <xf numFmtId="0" fontId="3" fillId="4" borderId="0" xfId="0" applyFont="1" applyFill="1"/>
    <xf numFmtId="0" fontId="0" fillId="4" borderId="0" xfId="0" applyFill="1"/>
    <xf numFmtId="0" fontId="3" fillId="5" borderId="0" xfId="0" applyFont="1" applyFill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right"/>
    </xf>
    <xf numFmtId="0" fontId="3" fillId="6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10" fontId="1" fillId="0" borderId="3" xfId="1" applyNumberFormat="1" applyFont="1" applyBorder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0" applyNumberFormat="1" applyFont="1" applyFill="1" applyAlignment="1">
      <alignment horizontal="center"/>
    </xf>
    <xf numFmtId="0" fontId="3" fillId="5" borderId="4" xfId="0" applyFont="1" applyFill="1" applyBorder="1" applyAlignment="1">
      <alignment horizontal="center"/>
    </xf>
    <xf numFmtId="165" fontId="1" fillId="5" borderId="5" xfId="1" applyNumberFormat="1" applyFont="1" applyFill="1" applyBorder="1" applyAlignment="1">
      <alignment horizontal="center"/>
    </xf>
    <xf numFmtId="9" fontId="3" fillId="6" borderId="0" xfId="0" applyNumberFormat="1" applyFont="1" applyFill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166" fontId="3" fillId="6" borderId="0" xfId="0" applyNumberFormat="1" applyFont="1" applyFill="1" applyAlignment="1">
      <alignment horizontal="center"/>
    </xf>
    <xf numFmtId="0" fontId="3" fillId="7" borderId="0" xfId="0" applyFont="1" applyFill="1"/>
    <xf numFmtId="0" fontId="0" fillId="7" borderId="0" xfId="0" applyFill="1"/>
    <xf numFmtId="0" fontId="5" fillId="7" borderId="6" xfId="0" applyFont="1" applyFill="1" applyBorder="1" applyAlignment="1">
      <alignment horizontal="right"/>
    </xf>
    <xf numFmtId="0" fontId="3" fillId="7" borderId="7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3" fillId="8" borderId="9" xfId="0" applyFont="1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3" fillId="8" borderId="11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3" fillId="9" borderId="0" xfId="0" applyFont="1" applyFill="1"/>
    <xf numFmtId="0" fontId="0" fillId="9" borderId="0" xfId="0" applyFill="1"/>
    <xf numFmtId="0" fontId="0" fillId="0" borderId="0" xfId="0" applyNumberFormat="1" applyFont="1" applyAlignment="1">
      <alignment horizontal="center"/>
    </xf>
    <xf numFmtId="10" fontId="1" fillId="0" borderId="0" xfId="1" applyNumberFormat="1" applyFont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center"/>
    </xf>
    <xf numFmtId="10" fontId="0" fillId="0" borderId="0" xfId="1" applyNumberFormat="1" applyFont="1"/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/>
    </xf>
    <xf numFmtId="0" fontId="3" fillId="11" borderId="13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7" fontId="3" fillId="6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2" fontId="3" fillId="11" borderId="13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center" vertical="center"/>
    </xf>
    <xf numFmtId="0" fontId="9" fillId="10" borderId="13" xfId="0" applyFont="1" applyFill="1" applyBorder="1" applyAlignment="1">
      <alignment horizontal="center" vertical="center"/>
    </xf>
    <xf numFmtId="169" fontId="0" fillId="12" borderId="0" xfId="27" applyNumberFormat="1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</cellXfs>
  <cellStyles count="28">
    <cellStyle name="Comma" xfId="27" builtinId="3"/>
    <cellStyle name="Comma 2" xfId="2"/>
    <cellStyle name="Comma 3" xfId="3"/>
    <cellStyle name="Comma 4" xfId="4"/>
    <cellStyle name="Comma 5" xfId="5"/>
    <cellStyle name="Currency 2" xfId="6"/>
    <cellStyle name="Currency 3" xfId="7"/>
    <cellStyle name="Currency 4" xfId="8"/>
    <cellStyle name="Euro" xfId="9"/>
    <cellStyle name="Heading 1 2" xfId="10"/>
    <cellStyle name="Hipervínculo_Oferta Vinculante Apoyo Infonavit 030610" xfId="11"/>
    <cellStyle name="Millares 2" xfId="12"/>
    <cellStyle name="Moneda 2" xfId="13"/>
    <cellStyle name="Moneda 2 2" xfId="14"/>
    <cellStyle name="Normal" xfId="0" builtinId="0"/>
    <cellStyle name="Normal 2" xfId="15"/>
    <cellStyle name="Normal 2 2" xfId="16"/>
    <cellStyle name="Normal 2 2 2" xfId="17"/>
    <cellStyle name="Normal 3" xfId="18"/>
    <cellStyle name="Normal 4" xfId="19"/>
    <cellStyle name="Normal 4 2" xfId="20"/>
    <cellStyle name="Normal 5" xfId="21"/>
    <cellStyle name="Percent" xfId="1" builtinId="5"/>
    <cellStyle name="Percent 2" xfId="22"/>
    <cellStyle name="Percent 3" xfId="23"/>
    <cellStyle name="Percent 4" xfId="24"/>
    <cellStyle name="Porcentual 2" xfId="25"/>
    <cellStyle name="Porcentual 2 2" xf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I4"/>
  <sheetViews>
    <sheetView tabSelected="1" workbookViewId="0"/>
  </sheetViews>
  <sheetFormatPr defaultColWidth="11.42578125" defaultRowHeight="15"/>
  <cols>
    <col min="1" max="1" width="11.85546875" style="43" customWidth="1"/>
    <col min="2" max="2" width="21" style="43" bestFit="1" customWidth="1"/>
    <col min="3" max="3" width="22.42578125" style="43" customWidth="1"/>
    <col min="4" max="4" width="10.5703125" style="43" bestFit="1" customWidth="1"/>
    <col min="5" max="5" width="13" style="43" customWidth="1"/>
    <col min="6" max="6" width="11.85546875" style="43" customWidth="1"/>
    <col min="7" max="7" width="21.5703125" style="43" customWidth="1"/>
    <col min="8" max="8" width="19.140625" style="43" customWidth="1"/>
    <col min="9" max="9" width="11.42578125" style="9"/>
  </cols>
  <sheetData>
    <row r="1" spans="1:9">
      <c r="A1" s="53" t="s">
        <v>49</v>
      </c>
      <c r="B1" s="53" t="s">
        <v>39</v>
      </c>
      <c r="C1" s="53" t="s">
        <v>40</v>
      </c>
      <c r="D1" s="53" t="s">
        <v>41</v>
      </c>
      <c r="E1" s="53" t="s">
        <v>42</v>
      </c>
      <c r="F1" s="53" t="s">
        <v>43</v>
      </c>
      <c r="G1" s="53" t="s">
        <v>44</v>
      </c>
      <c r="H1" s="53" t="s">
        <v>45</v>
      </c>
      <c r="I1" s="43"/>
    </row>
    <row r="2" spans="1:9">
      <c r="A2" s="50">
        <v>1</v>
      </c>
      <c r="B2" s="50">
        <v>1</v>
      </c>
      <c r="C2" s="51">
        <v>240</v>
      </c>
      <c r="D2" s="54">
        <v>5000</v>
      </c>
      <c r="E2" s="55">
        <v>30</v>
      </c>
      <c r="F2" s="50">
        <v>18</v>
      </c>
      <c r="G2" s="52">
        <v>0.16</v>
      </c>
      <c r="H2" s="52" t="s">
        <v>46</v>
      </c>
      <c r="I2" s="43"/>
    </row>
    <row r="3" spans="1:9">
      <c r="A3" s="50">
        <v>2</v>
      </c>
      <c r="B3" s="50">
        <v>2</v>
      </c>
      <c r="C3" s="51">
        <v>240</v>
      </c>
      <c r="D3" s="54">
        <v>1000000</v>
      </c>
      <c r="E3" s="55">
        <v>30</v>
      </c>
      <c r="F3" s="50">
        <v>18</v>
      </c>
      <c r="G3" s="52">
        <v>0.16</v>
      </c>
      <c r="H3" s="52" t="s">
        <v>47</v>
      </c>
      <c r="I3" s="43"/>
    </row>
    <row r="4" spans="1:9">
      <c r="A4" s="50">
        <v>3</v>
      </c>
      <c r="B4" s="50">
        <v>3</v>
      </c>
      <c r="C4" s="51">
        <v>240</v>
      </c>
      <c r="D4" s="54">
        <v>1000000</v>
      </c>
      <c r="E4" s="55">
        <v>18</v>
      </c>
      <c r="F4" s="50">
        <v>18</v>
      </c>
      <c r="G4" s="52">
        <v>0.16</v>
      </c>
      <c r="H4" s="52" t="s">
        <v>46</v>
      </c>
      <c r="I4" s="4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I4"/>
  <sheetViews>
    <sheetView showZeros="0" zoomScale="60" zoomScaleNormal="60" workbookViewId="0"/>
  </sheetViews>
  <sheetFormatPr defaultColWidth="11.42578125" defaultRowHeight="15"/>
  <cols>
    <col min="1" max="1" width="15.5703125" style="9" customWidth="1"/>
    <col min="2" max="2" width="19" style="9" customWidth="1"/>
    <col min="3" max="3" width="23" style="9" customWidth="1"/>
    <col min="4" max="4" width="16.85546875" style="9" customWidth="1"/>
    <col min="5" max="5" width="13.42578125" style="48" customWidth="1"/>
    <col min="6" max="6" width="14" style="9" customWidth="1"/>
    <col min="7" max="7" width="19.5703125" style="9" customWidth="1"/>
    <col min="8" max="8" width="21" style="9" customWidth="1"/>
  </cols>
  <sheetData>
    <row r="1" spans="1:9">
      <c r="A1" s="45" t="s">
        <v>49</v>
      </c>
      <c r="B1" s="45" t="s">
        <v>39</v>
      </c>
      <c r="C1" s="45" t="s">
        <v>48</v>
      </c>
      <c r="D1" s="45" t="s">
        <v>41</v>
      </c>
      <c r="E1" s="49" t="s">
        <v>42</v>
      </c>
      <c r="F1" s="45" t="s">
        <v>43</v>
      </c>
      <c r="G1" s="45" t="s">
        <v>44</v>
      </c>
      <c r="H1" s="45" t="s">
        <v>45</v>
      </c>
      <c r="I1" s="46" t="s">
        <v>4</v>
      </c>
    </row>
    <row r="2" spans="1:9">
      <c r="A2" s="44">
        <f>IF(ID_IN="","",1)</f>
        <v>1</v>
      </c>
      <c r="I2" s="9"/>
    </row>
    <row r="3" spans="1:9">
      <c r="A3" s="44">
        <f t="shared" ref="A3:A4" si="0">IF(ID_IN="","",A2+1)</f>
        <v>2</v>
      </c>
    </row>
    <row r="4" spans="1:9">
      <c r="A4" s="44">
        <f t="shared" si="0"/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>
    <tabColor theme="5" tint="0.59999389629810485"/>
  </sheetPr>
  <dimension ref="A3:Q44"/>
  <sheetViews>
    <sheetView zoomScale="80" zoomScaleNormal="80" workbookViewId="0"/>
  </sheetViews>
  <sheetFormatPr defaultColWidth="9.140625" defaultRowHeight="15"/>
  <cols>
    <col min="1" max="1" width="20.85546875" bestFit="1" customWidth="1"/>
    <col min="2" max="2" width="14.28515625" customWidth="1"/>
    <col min="3" max="3" width="1.7109375" customWidth="1"/>
    <col min="4" max="4" width="9.140625" style="9"/>
    <col min="5" max="5" width="13" bestFit="1" customWidth="1"/>
    <col min="6" max="7" width="10.7109375" customWidth="1"/>
    <col min="8" max="9" width="13" bestFit="1" customWidth="1"/>
    <col min="10" max="10" width="14.5703125" bestFit="1" customWidth="1"/>
    <col min="11" max="11" width="13" bestFit="1" customWidth="1"/>
    <col min="12" max="12" width="10.7109375" customWidth="1"/>
    <col min="13" max="14" width="13" bestFit="1" customWidth="1"/>
    <col min="15" max="15" width="1.42578125" customWidth="1"/>
  </cols>
  <sheetData>
    <row r="3" spans="1:17">
      <c r="A3" s="1" t="s">
        <v>0</v>
      </c>
      <c r="B3" s="2" t="s">
        <v>1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>
      <c r="D4"/>
      <c r="E4" s="42">
        <f>CAT</f>
        <v>0.23585963287487122</v>
      </c>
    </row>
    <row r="5" spans="1:17">
      <c r="A5" s="4" t="s">
        <v>2</v>
      </c>
      <c r="B5" s="5"/>
      <c r="D5" s="6" t="s">
        <v>3</v>
      </c>
      <c r="E5" s="6"/>
      <c r="F5" s="7"/>
      <c r="G5" s="7"/>
      <c r="H5" s="7"/>
      <c r="I5" s="7"/>
      <c r="J5" s="7"/>
      <c r="K5" s="7"/>
      <c r="L5" s="7"/>
      <c r="M5" s="7"/>
      <c r="N5" s="7"/>
      <c r="P5" s="8" t="s">
        <v>4</v>
      </c>
      <c r="Q5" s="8"/>
    </row>
    <row r="6" spans="1:17" ht="15.75" thickBot="1"/>
    <row r="7" spans="1:17">
      <c r="A7" s="10" t="s">
        <v>5</v>
      </c>
      <c r="B7" s="47">
        <v>34829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11</v>
      </c>
      <c r="J7" s="12" t="s">
        <v>12</v>
      </c>
      <c r="K7" s="12" t="s">
        <v>13</v>
      </c>
      <c r="L7" s="12" t="s">
        <v>14</v>
      </c>
      <c r="M7" s="12" t="s">
        <v>15</v>
      </c>
      <c r="N7" s="12" t="s">
        <v>16</v>
      </c>
      <c r="P7" s="13" t="s">
        <v>17</v>
      </c>
      <c r="Q7" s="14">
        <f>IRR(__FlujosCAT,0)</f>
        <v>1.7803864668582081E-2</v>
      </c>
    </row>
    <row r="8" spans="1:17" ht="15.75" thickBot="1">
      <c r="A8" s="10" t="s">
        <v>18</v>
      </c>
      <c r="B8" s="15">
        <v>0.17</v>
      </c>
      <c r="D8" s="16">
        <v>0</v>
      </c>
      <c r="E8" s="17"/>
      <c r="F8" s="17"/>
      <c r="G8" s="17"/>
      <c r="H8" s="17"/>
      <c r="I8" s="17"/>
      <c r="J8" s="17"/>
      <c r="K8" s="18">
        <f t="shared" ref="K8:K44" si="0">(_Monto_Línea - __SaldoPostPago) * (__Periodo&lt;_Corte_Revolvencia)</f>
        <v>34829</v>
      </c>
      <c r="L8" s="18">
        <f>_Comisiones_Iniciales</f>
        <v>240</v>
      </c>
      <c r="M8" s="17">
        <f t="shared" ref="M8:M44" si="1">__Pago - __Disposición + __Comisión</f>
        <v>-34589</v>
      </c>
      <c r="N8" s="17">
        <f t="shared" ref="N8:N44" si="2">__SaldoPostPago + __Disposición</f>
        <v>34829</v>
      </c>
      <c r="P8" s="19" t="s">
        <v>4</v>
      </c>
      <c r="Q8" s="20">
        <f>((1+_Irr_Flujos)^_Periodos_por_Año)-1</f>
        <v>0.23585963287487122</v>
      </c>
    </row>
    <row r="9" spans="1:17">
      <c r="A9" s="10" t="s">
        <v>19</v>
      </c>
      <c r="B9" s="21">
        <v>0.12</v>
      </c>
      <c r="D9" s="22">
        <v>1</v>
      </c>
      <c r="E9" s="23">
        <f t="shared" ref="E9:E44" si="3">(INDEX(__SaldoFinal,__Periodo)) * (__Periodo&lt;=_Corte_Revolvencia)</f>
        <v>34829</v>
      </c>
      <c r="F9" s="23">
        <f t="shared" ref="F9:F44" si="4">__Saldo * _Tasa_Nivelada / _Dias_en_Año * _Dias_por_Periodo / (1 + _Tasa_IVA_Interes)</f>
        <v>493.41083333333341</v>
      </c>
      <c r="G9" s="23">
        <f t="shared" ref="G9:G44" si="5">__Interés * _Tasa_IVA_Interes</f>
        <v>59.209300000000006</v>
      </c>
      <c r="H9" s="23">
        <f t="shared" ref="H9:H44" si="6">IF(__Periodo &gt;= _Corte_Revolvencia, __Saldo, _Pago_Fijo - __Interés - __Iva )</f>
        <v>5578.8031758783345</v>
      </c>
      <c r="I9" s="24">
        <f t="shared" ref="I9:I44" si="7">__Interés + __Capital</f>
        <v>6072.2140092116679</v>
      </c>
      <c r="J9" s="23">
        <f t="shared" ref="J9:J44" si="8">__Saldo - __Capital</f>
        <v>29250.196824121667</v>
      </c>
      <c r="K9" s="23">
        <f t="shared" si="0"/>
        <v>5578.8031758783327</v>
      </c>
      <c r="L9" s="23">
        <f t="shared" ref="L9:L44" si="9">_Comisión_Redisposición * (__Disposición&lt;&gt;0)</f>
        <v>120</v>
      </c>
      <c r="M9" s="23">
        <f t="shared" si="1"/>
        <v>613.41083333333518</v>
      </c>
      <c r="N9" s="23">
        <f t="shared" si="2"/>
        <v>34829</v>
      </c>
    </row>
    <row r="10" spans="1:17">
      <c r="A10" s="25" t="s">
        <v>20</v>
      </c>
      <c r="B10" s="26">
        <v>240</v>
      </c>
      <c r="D10" s="22">
        <v>2</v>
      </c>
      <c r="E10" s="23">
        <f t="shared" si="3"/>
        <v>34829</v>
      </c>
      <c r="F10" s="23">
        <f t="shared" si="4"/>
        <v>493.41083333333341</v>
      </c>
      <c r="G10" s="23">
        <f t="shared" si="5"/>
        <v>59.209300000000006</v>
      </c>
      <c r="H10" s="23">
        <f t="shared" si="6"/>
        <v>5578.8031758783345</v>
      </c>
      <c r="I10" s="23">
        <f t="shared" si="7"/>
        <v>6072.2140092116679</v>
      </c>
      <c r="J10" s="23">
        <f t="shared" si="8"/>
        <v>29250.196824121667</v>
      </c>
      <c r="K10" s="23">
        <f t="shared" si="0"/>
        <v>5578.8031758783327</v>
      </c>
      <c r="L10" s="23">
        <f t="shared" si="9"/>
        <v>120</v>
      </c>
      <c r="M10" s="23">
        <f t="shared" si="1"/>
        <v>613.41083333333518</v>
      </c>
      <c r="N10" s="23">
        <f t="shared" si="2"/>
        <v>34829</v>
      </c>
    </row>
    <row r="11" spans="1:17">
      <c r="A11" s="25" t="s">
        <v>21</v>
      </c>
      <c r="B11" s="11">
        <v>120</v>
      </c>
      <c r="D11" s="22">
        <v>3</v>
      </c>
      <c r="E11" s="23">
        <f t="shared" si="3"/>
        <v>34829</v>
      </c>
      <c r="F11" s="23">
        <f t="shared" si="4"/>
        <v>493.41083333333341</v>
      </c>
      <c r="G11" s="23">
        <f t="shared" si="5"/>
        <v>59.209300000000006</v>
      </c>
      <c r="H11" s="23">
        <f t="shared" si="6"/>
        <v>5578.8031758783345</v>
      </c>
      <c r="I11" s="23">
        <f>__Interés + __Capital</f>
        <v>6072.2140092116679</v>
      </c>
      <c r="J11" s="23">
        <f t="shared" si="8"/>
        <v>29250.196824121667</v>
      </c>
      <c r="K11" s="23">
        <f t="shared" si="0"/>
        <v>5578.8031758783327</v>
      </c>
      <c r="L11" s="23">
        <f t="shared" si="9"/>
        <v>120</v>
      </c>
      <c r="M11" s="23">
        <f t="shared" si="1"/>
        <v>613.41083333333518</v>
      </c>
      <c r="N11" s="23">
        <f t="shared" si="2"/>
        <v>34829</v>
      </c>
    </row>
    <row r="12" spans="1:17">
      <c r="A12" s="10" t="s">
        <v>22</v>
      </c>
      <c r="B12" s="11">
        <v>6</v>
      </c>
      <c r="D12" s="22">
        <v>4</v>
      </c>
      <c r="E12" s="23">
        <f t="shared" si="3"/>
        <v>34829</v>
      </c>
      <c r="F12" s="23">
        <f t="shared" si="4"/>
        <v>493.41083333333341</v>
      </c>
      <c r="G12" s="23">
        <f t="shared" si="5"/>
        <v>59.209300000000006</v>
      </c>
      <c r="H12" s="23">
        <f t="shared" si="6"/>
        <v>5578.8031758783345</v>
      </c>
      <c r="I12" s="23">
        <f t="shared" si="7"/>
        <v>6072.2140092116679</v>
      </c>
      <c r="J12" s="23">
        <f t="shared" si="8"/>
        <v>29250.196824121667</v>
      </c>
      <c r="K12" s="23">
        <f t="shared" si="0"/>
        <v>5578.8031758783327</v>
      </c>
      <c r="L12" s="23">
        <f t="shared" si="9"/>
        <v>120</v>
      </c>
      <c r="M12" s="23">
        <f t="shared" si="1"/>
        <v>613.41083333333518</v>
      </c>
      <c r="N12" s="23">
        <f t="shared" si="2"/>
        <v>34829</v>
      </c>
    </row>
    <row r="13" spans="1:17">
      <c r="C13" t="s">
        <v>23</v>
      </c>
      <c r="D13" s="22">
        <v>5</v>
      </c>
      <c r="E13" s="23">
        <f t="shared" si="3"/>
        <v>34829</v>
      </c>
      <c r="F13" s="23">
        <f t="shared" si="4"/>
        <v>493.41083333333341</v>
      </c>
      <c r="G13" s="23">
        <f t="shared" si="5"/>
        <v>59.209300000000006</v>
      </c>
      <c r="H13" s="23">
        <f t="shared" si="6"/>
        <v>5578.8031758783345</v>
      </c>
      <c r="I13" s="23">
        <f t="shared" si="7"/>
        <v>6072.2140092116679</v>
      </c>
      <c r="J13" s="23">
        <f t="shared" si="8"/>
        <v>29250.196824121667</v>
      </c>
      <c r="K13" s="23">
        <f t="shared" si="0"/>
        <v>5578.8031758783327</v>
      </c>
      <c r="L13" s="23">
        <f t="shared" si="9"/>
        <v>120</v>
      </c>
      <c r="M13" s="23">
        <f t="shared" si="1"/>
        <v>613.41083333333518</v>
      </c>
      <c r="N13" s="23">
        <f t="shared" si="2"/>
        <v>34829</v>
      </c>
    </row>
    <row r="14" spans="1:17">
      <c r="A14" s="25" t="s">
        <v>24</v>
      </c>
      <c r="B14" s="11">
        <v>12</v>
      </c>
      <c r="D14" s="22">
        <v>6</v>
      </c>
      <c r="E14" s="23">
        <f t="shared" si="3"/>
        <v>34829</v>
      </c>
      <c r="F14" s="23">
        <f t="shared" si="4"/>
        <v>493.41083333333341</v>
      </c>
      <c r="G14" s="23">
        <f t="shared" si="5"/>
        <v>59.209300000000006</v>
      </c>
      <c r="H14" s="23">
        <f t="shared" si="6"/>
        <v>5578.8031758783345</v>
      </c>
      <c r="I14" s="23">
        <f t="shared" si="7"/>
        <v>6072.2140092116679</v>
      </c>
      <c r="J14" s="23">
        <f t="shared" si="8"/>
        <v>29250.196824121667</v>
      </c>
      <c r="K14" s="23">
        <f t="shared" si="0"/>
        <v>5578.8031758783327</v>
      </c>
      <c r="L14" s="23">
        <f t="shared" si="9"/>
        <v>120</v>
      </c>
      <c r="M14" s="23">
        <f t="shared" si="1"/>
        <v>613.41083333333518</v>
      </c>
      <c r="N14" s="23">
        <f t="shared" si="2"/>
        <v>34829</v>
      </c>
    </row>
    <row r="15" spans="1:17">
      <c r="A15" s="10" t="s">
        <v>25</v>
      </c>
      <c r="B15" s="11">
        <v>360</v>
      </c>
      <c r="D15" s="22">
        <v>7</v>
      </c>
      <c r="E15" s="23">
        <f t="shared" si="3"/>
        <v>34829</v>
      </c>
      <c r="F15" s="23">
        <f t="shared" si="4"/>
        <v>493.41083333333341</v>
      </c>
      <c r="G15" s="23">
        <f t="shared" si="5"/>
        <v>59.209300000000006</v>
      </c>
      <c r="H15" s="23">
        <f t="shared" si="6"/>
        <v>5578.8031758783345</v>
      </c>
      <c r="I15" s="23">
        <f t="shared" si="7"/>
        <v>6072.2140092116679</v>
      </c>
      <c r="J15" s="23">
        <f t="shared" si="8"/>
        <v>29250.196824121667</v>
      </c>
      <c r="K15" s="23">
        <f t="shared" si="0"/>
        <v>5578.8031758783327</v>
      </c>
      <c r="L15" s="23">
        <f t="shared" si="9"/>
        <v>120</v>
      </c>
      <c r="M15" s="23">
        <f t="shared" si="1"/>
        <v>613.41083333333518</v>
      </c>
      <c r="N15" s="23">
        <f t="shared" si="2"/>
        <v>34829</v>
      </c>
    </row>
    <row r="16" spans="1:17">
      <c r="D16" s="22">
        <v>8</v>
      </c>
      <c r="E16" s="23">
        <f t="shared" si="3"/>
        <v>34829</v>
      </c>
      <c r="F16" s="23">
        <f t="shared" si="4"/>
        <v>493.41083333333341</v>
      </c>
      <c r="G16" s="23">
        <f t="shared" si="5"/>
        <v>59.209300000000006</v>
      </c>
      <c r="H16" s="23">
        <f t="shared" si="6"/>
        <v>5578.8031758783345</v>
      </c>
      <c r="I16" s="23">
        <f t="shared" si="7"/>
        <v>6072.2140092116679</v>
      </c>
      <c r="J16" s="23">
        <f t="shared" si="8"/>
        <v>29250.196824121667</v>
      </c>
      <c r="K16" s="23">
        <f t="shared" si="0"/>
        <v>5578.8031758783327</v>
      </c>
      <c r="L16" s="23">
        <f t="shared" si="9"/>
        <v>120</v>
      </c>
      <c r="M16" s="23">
        <f t="shared" si="1"/>
        <v>613.41083333333518</v>
      </c>
      <c r="N16" s="23">
        <f t="shared" si="2"/>
        <v>34829</v>
      </c>
    </row>
    <row r="17" spans="1:14">
      <c r="A17" s="27" t="s">
        <v>26</v>
      </c>
      <c r="B17" s="28"/>
      <c r="D17" s="22">
        <v>9</v>
      </c>
      <c r="E17" s="23">
        <f t="shared" si="3"/>
        <v>34829</v>
      </c>
      <c r="F17" s="23">
        <f t="shared" si="4"/>
        <v>493.41083333333341</v>
      </c>
      <c r="G17" s="23">
        <f t="shared" si="5"/>
        <v>59.209300000000006</v>
      </c>
      <c r="H17" s="23">
        <f t="shared" si="6"/>
        <v>5578.8031758783345</v>
      </c>
      <c r="I17" s="23">
        <f t="shared" si="7"/>
        <v>6072.2140092116679</v>
      </c>
      <c r="J17" s="23">
        <f t="shared" si="8"/>
        <v>29250.196824121667</v>
      </c>
      <c r="K17" s="23">
        <f t="shared" si="0"/>
        <v>5578.8031758783327</v>
      </c>
      <c r="L17" s="23">
        <f t="shared" si="9"/>
        <v>120</v>
      </c>
      <c r="M17" s="23">
        <f t="shared" si="1"/>
        <v>613.41083333333518</v>
      </c>
      <c r="N17" s="23">
        <f t="shared" si="2"/>
        <v>34829</v>
      </c>
    </row>
    <row r="18" spans="1:14">
      <c r="D18" s="22">
        <v>10</v>
      </c>
      <c r="E18" s="23">
        <f t="shared" si="3"/>
        <v>34829</v>
      </c>
      <c r="F18" s="23">
        <f t="shared" si="4"/>
        <v>493.41083333333341</v>
      </c>
      <c r="G18" s="23">
        <f t="shared" si="5"/>
        <v>59.209300000000006</v>
      </c>
      <c r="H18" s="23">
        <f t="shared" si="6"/>
        <v>5578.8031758783345</v>
      </c>
      <c r="I18" s="23">
        <f t="shared" si="7"/>
        <v>6072.2140092116679</v>
      </c>
      <c r="J18" s="23">
        <f t="shared" si="8"/>
        <v>29250.196824121667</v>
      </c>
      <c r="K18" s="23">
        <f t="shared" si="0"/>
        <v>5578.8031758783327</v>
      </c>
      <c r="L18" s="23">
        <f t="shared" si="9"/>
        <v>120</v>
      </c>
      <c r="M18" s="23">
        <f t="shared" si="1"/>
        <v>613.41083333333518</v>
      </c>
      <c r="N18" s="23">
        <f t="shared" si="2"/>
        <v>34829</v>
      </c>
    </row>
    <row r="19" spans="1:14">
      <c r="A19" s="29" t="s">
        <v>27</v>
      </c>
      <c r="B19" s="30" t="s">
        <v>28</v>
      </c>
      <c r="D19" s="22">
        <v>11</v>
      </c>
      <c r="E19" s="23">
        <f t="shared" si="3"/>
        <v>34829</v>
      </c>
      <c r="F19" s="23">
        <f t="shared" si="4"/>
        <v>493.41083333333341</v>
      </c>
      <c r="G19" s="23">
        <f t="shared" si="5"/>
        <v>59.209300000000006</v>
      </c>
      <c r="H19" s="23">
        <f t="shared" si="6"/>
        <v>5578.8031758783345</v>
      </c>
      <c r="I19" s="23">
        <f t="shared" si="7"/>
        <v>6072.2140092116679</v>
      </c>
      <c r="J19" s="23">
        <f t="shared" si="8"/>
        <v>29250.196824121667</v>
      </c>
      <c r="K19" s="23">
        <f t="shared" si="0"/>
        <v>5578.8031758783327</v>
      </c>
      <c r="L19" s="23">
        <f t="shared" si="9"/>
        <v>120</v>
      </c>
      <c r="M19" s="23">
        <f t="shared" si="1"/>
        <v>613.41083333333518</v>
      </c>
      <c r="N19" s="23">
        <f t="shared" si="2"/>
        <v>34829</v>
      </c>
    </row>
    <row r="20" spans="1:14">
      <c r="A20" s="31" t="s">
        <v>29</v>
      </c>
      <c r="B20" s="32">
        <v>12</v>
      </c>
      <c r="D20" s="22">
        <v>12</v>
      </c>
      <c r="E20" s="23">
        <f t="shared" si="3"/>
        <v>34829</v>
      </c>
      <c r="F20" s="23">
        <f t="shared" si="4"/>
        <v>493.41083333333341</v>
      </c>
      <c r="G20" s="23">
        <f t="shared" si="5"/>
        <v>59.209300000000006</v>
      </c>
      <c r="H20" s="23">
        <f t="shared" si="6"/>
        <v>5578.8031758783345</v>
      </c>
      <c r="I20" s="23">
        <f t="shared" si="7"/>
        <v>6072.2140092116679</v>
      </c>
      <c r="J20" s="23">
        <f t="shared" si="8"/>
        <v>29250.196824121667</v>
      </c>
      <c r="K20" s="23">
        <f t="shared" si="0"/>
        <v>5578.8031758783327</v>
      </c>
      <c r="L20" s="23">
        <f t="shared" si="9"/>
        <v>120</v>
      </c>
      <c r="M20" s="23">
        <f t="shared" si="1"/>
        <v>613.41083333333518</v>
      </c>
      <c r="N20" s="23">
        <f t="shared" si="2"/>
        <v>34829</v>
      </c>
    </row>
    <row r="21" spans="1:14">
      <c r="A21" s="33" t="s">
        <v>30</v>
      </c>
      <c r="B21" s="34">
        <v>30</v>
      </c>
      <c r="D21" s="22">
        <v>13</v>
      </c>
      <c r="E21" s="23">
        <f t="shared" si="3"/>
        <v>34829</v>
      </c>
      <c r="F21" s="23">
        <f t="shared" si="4"/>
        <v>493.41083333333341</v>
      </c>
      <c r="G21" s="23">
        <f t="shared" si="5"/>
        <v>59.209300000000006</v>
      </c>
      <c r="H21" s="23">
        <f t="shared" si="6"/>
        <v>5578.8031758783345</v>
      </c>
      <c r="I21" s="23">
        <f t="shared" si="7"/>
        <v>6072.2140092116679</v>
      </c>
      <c r="J21" s="23">
        <f t="shared" si="8"/>
        <v>29250.196824121667</v>
      </c>
      <c r="K21" s="23">
        <f t="shared" si="0"/>
        <v>5578.8031758783327</v>
      </c>
      <c r="L21" s="23">
        <f t="shared" si="9"/>
        <v>120</v>
      </c>
      <c r="M21" s="23">
        <f t="shared" si="1"/>
        <v>613.41083333333518</v>
      </c>
      <c r="N21" s="23">
        <f t="shared" si="2"/>
        <v>34829</v>
      </c>
    </row>
    <row r="22" spans="1:14">
      <c r="D22" s="22">
        <v>14</v>
      </c>
      <c r="E22" s="23">
        <f t="shared" si="3"/>
        <v>34829</v>
      </c>
      <c r="F22" s="23">
        <f t="shared" si="4"/>
        <v>493.41083333333341</v>
      </c>
      <c r="G22" s="23">
        <f t="shared" si="5"/>
        <v>59.209300000000006</v>
      </c>
      <c r="H22" s="23">
        <f t="shared" si="6"/>
        <v>5578.8031758783345</v>
      </c>
      <c r="I22" s="23">
        <f t="shared" si="7"/>
        <v>6072.2140092116679</v>
      </c>
      <c r="J22" s="23">
        <f t="shared" si="8"/>
        <v>29250.196824121667</v>
      </c>
      <c r="K22" s="23">
        <f t="shared" si="0"/>
        <v>5578.8031758783327</v>
      </c>
      <c r="L22" s="23">
        <f t="shared" si="9"/>
        <v>120</v>
      </c>
      <c r="M22" s="23">
        <f t="shared" si="1"/>
        <v>613.41083333333518</v>
      </c>
      <c r="N22" s="23">
        <f t="shared" si="2"/>
        <v>34829</v>
      </c>
    </row>
    <row r="23" spans="1:14">
      <c r="A23" s="25" t="s">
        <v>31</v>
      </c>
      <c r="B23" s="35">
        <v>3</v>
      </c>
      <c r="D23" s="22">
        <v>15</v>
      </c>
      <c r="E23" s="23">
        <f t="shared" si="3"/>
        <v>34829</v>
      </c>
      <c r="F23" s="23">
        <f t="shared" si="4"/>
        <v>493.41083333333341</v>
      </c>
      <c r="G23" s="23">
        <f t="shared" si="5"/>
        <v>59.209300000000006</v>
      </c>
      <c r="H23" s="23">
        <f t="shared" si="6"/>
        <v>5578.8031758783345</v>
      </c>
      <c r="I23" s="23">
        <f t="shared" si="7"/>
        <v>6072.2140092116679</v>
      </c>
      <c r="J23" s="23">
        <f t="shared" si="8"/>
        <v>29250.196824121667</v>
      </c>
      <c r="K23" s="23">
        <f t="shared" si="0"/>
        <v>5578.8031758783327</v>
      </c>
      <c r="L23" s="23">
        <f t="shared" si="9"/>
        <v>120</v>
      </c>
      <c r="M23" s="23">
        <f t="shared" si="1"/>
        <v>613.41083333333518</v>
      </c>
      <c r="N23" s="23">
        <f t="shared" si="2"/>
        <v>34829</v>
      </c>
    </row>
    <row r="24" spans="1:14">
      <c r="D24" s="22">
        <v>16</v>
      </c>
      <c r="E24" s="23">
        <f t="shared" si="3"/>
        <v>34829</v>
      </c>
      <c r="F24" s="23">
        <f t="shared" si="4"/>
        <v>493.41083333333341</v>
      </c>
      <c r="G24" s="23">
        <f t="shared" si="5"/>
        <v>59.209300000000006</v>
      </c>
      <c r="H24" s="23">
        <f t="shared" si="6"/>
        <v>5578.8031758783345</v>
      </c>
      <c r="I24" s="23">
        <f t="shared" si="7"/>
        <v>6072.2140092116679</v>
      </c>
      <c r="J24" s="23">
        <f t="shared" si="8"/>
        <v>29250.196824121667</v>
      </c>
      <c r="K24" s="23">
        <f t="shared" si="0"/>
        <v>5578.8031758783327</v>
      </c>
      <c r="L24" s="23">
        <f t="shared" si="9"/>
        <v>120</v>
      </c>
      <c r="M24" s="23">
        <f t="shared" si="1"/>
        <v>613.41083333333518</v>
      </c>
      <c r="N24" s="23">
        <f t="shared" si="2"/>
        <v>34829</v>
      </c>
    </row>
    <row r="25" spans="1:14">
      <c r="A25" s="36" t="s">
        <v>32</v>
      </c>
      <c r="B25" s="37"/>
      <c r="D25" s="22">
        <v>17</v>
      </c>
      <c r="E25" s="23">
        <f t="shared" si="3"/>
        <v>34829</v>
      </c>
      <c r="F25" s="23">
        <f t="shared" si="4"/>
        <v>493.41083333333341</v>
      </c>
      <c r="G25" s="23">
        <f t="shared" si="5"/>
        <v>59.209300000000006</v>
      </c>
      <c r="H25" s="23">
        <f t="shared" si="6"/>
        <v>5578.8031758783345</v>
      </c>
      <c r="I25" s="23">
        <f t="shared" si="7"/>
        <v>6072.2140092116679</v>
      </c>
      <c r="J25" s="23">
        <f t="shared" si="8"/>
        <v>29250.196824121667</v>
      </c>
      <c r="K25" s="23">
        <f t="shared" si="0"/>
        <v>5578.8031758783327</v>
      </c>
      <c r="L25" s="23">
        <f t="shared" si="9"/>
        <v>120</v>
      </c>
      <c r="M25" s="23">
        <f t="shared" si="1"/>
        <v>613.41083333333518</v>
      </c>
      <c r="N25" s="23">
        <f t="shared" si="2"/>
        <v>34829</v>
      </c>
    </row>
    <row r="26" spans="1:14">
      <c r="D26" s="22">
        <v>18</v>
      </c>
      <c r="E26" s="23">
        <f t="shared" si="3"/>
        <v>34829</v>
      </c>
      <c r="F26" s="23">
        <f t="shared" si="4"/>
        <v>493.41083333333341</v>
      </c>
      <c r="G26" s="23">
        <f t="shared" si="5"/>
        <v>59.209300000000006</v>
      </c>
      <c r="H26" s="23">
        <f t="shared" si="6"/>
        <v>5578.8031758783345</v>
      </c>
      <c r="I26" s="23">
        <f t="shared" si="7"/>
        <v>6072.2140092116679</v>
      </c>
      <c r="J26" s="23">
        <f t="shared" si="8"/>
        <v>29250.196824121667</v>
      </c>
      <c r="K26" s="23">
        <f t="shared" si="0"/>
        <v>5578.8031758783327</v>
      </c>
      <c r="L26" s="23">
        <f t="shared" si="9"/>
        <v>120</v>
      </c>
      <c r="M26" s="23">
        <f t="shared" si="1"/>
        <v>613.41083333333518</v>
      </c>
      <c r="N26" s="23">
        <f t="shared" si="2"/>
        <v>34829</v>
      </c>
    </row>
    <row r="27" spans="1:14">
      <c r="A27" s="25" t="s">
        <v>33</v>
      </c>
      <c r="B27" s="38">
        <f>_Periodos_por_Año * _Años_Revolvencia</f>
        <v>36</v>
      </c>
      <c r="D27" s="22">
        <v>19</v>
      </c>
      <c r="E27" s="23">
        <f t="shared" si="3"/>
        <v>34829</v>
      </c>
      <c r="F27" s="23">
        <f t="shared" si="4"/>
        <v>493.41083333333341</v>
      </c>
      <c r="G27" s="23">
        <f t="shared" si="5"/>
        <v>59.209300000000006</v>
      </c>
      <c r="H27" s="23">
        <f t="shared" si="6"/>
        <v>5578.8031758783345</v>
      </c>
      <c r="I27" s="23">
        <f t="shared" si="7"/>
        <v>6072.2140092116679</v>
      </c>
      <c r="J27" s="23">
        <f t="shared" si="8"/>
        <v>29250.196824121667</v>
      </c>
      <c r="K27" s="23">
        <f t="shared" si="0"/>
        <v>5578.8031758783327</v>
      </c>
      <c r="L27" s="23">
        <f t="shared" si="9"/>
        <v>120</v>
      </c>
      <c r="M27" s="23">
        <f t="shared" si="1"/>
        <v>613.41083333333518</v>
      </c>
      <c r="N27" s="23">
        <f t="shared" si="2"/>
        <v>34829</v>
      </c>
    </row>
    <row r="28" spans="1:14">
      <c r="D28" s="22">
        <v>20</v>
      </c>
      <c r="E28" s="23">
        <f t="shared" si="3"/>
        <v>34829</v>
      </c>
      <c r="F28" s="23">
        <f t="shared" si="4"/>
        <v>493.41083333333341</v>
      </c>
      <c r="G28" s="23">
        <f t="shared" si="5"/>
        <v>59.209300000000006</v>
      </c>
      <c r="H28" s="23">
        <f t="shared" si="6"/>
        <v>5578.8031758783345</v>
      </c>
      <c r="I28" s="23">
        <f t="shared" si="7"/>
        <v>6072.2140092116679</v>
      </c>
      <c r="J28" s="23">
        <f t="shared" si="8"/>
        <v>29250.196824121667</v>
      </c>
      <c r="K28" s="23">
        <f t="shared" si="0"/>
        <v>5578.8031758783327</v>
      </c>
      <c r="L28" s="23">
        <f t="shared" si="9"/>
        <v>120</v>
      </c>
      <c r="M28" s="23">
        <f t="shared" si="1"/>
        <v>613.41083333333518</v>
      </c>
      <c r="N28" s="23">
        <f t="shared" si="2"/>
        <v>34829</v>
      </c>
    </row>
    <row r="29" spans="1:14">
      <c r="A29" s="25" t="s">
        <v>34</v>
      </c>
      <c r="B29" s="39">
        <f>_Tasa_Anual * ( 1 + _Tasa_IVA_Interes )</f>
        <v>0.19040000000000004</v>
      </c>
      <c r="D29" s="22">
        <v>21</v>
      </c>
      <c r="E29" s="23">
        <f t="shared" si="3"/>
        <v>34829</v>
      </c>
      <c r="F29" s="23">
        <f t="shared" si="4"/>
        <v>493.41083333333341</v>
      </c>
      <c r="G29" s="23">
        <f t="shared" si="5"/>
        <v>59.209300000000006</v>
      </c>
      <c r="H29" s="23">
        <f t="shared" si="6"/>
        <v>5578.8031758783345</v>
      </c>
      <c r="I29" s="23">
        <f t="shared" si="7"/>
        <v>6072.2140092116679</v>
      </c>
      <c r="J29" s="23">
        <f t="shared" si="8"/>
        <v>29250.196824121667</v>
      </c>
      <c r="K29" s="23">
        <f t="shared" si="0"/>
        <v>5578.8031758783327</v>
      </c>
      <c r="L29" s="23">
        <f t="shared" si="9"/>
        <v>120</v>
      </c>
      <c r="M29" s="23">
        <f t="shared" si="1"/>
        <v>613.41083333333518</v>
      </c>
      <c r="N29" s="23">
        <f t="shared" si="2"/>
        <v>34829</v>
      </c>
    </row>
    <row r="30" spans="1:14">
      <c r="A30" s="40" t="s">
        <v>35</v>
      </c>
      <c r="B30" s="41">
        <f>_Periodos_por_Año / _Meses_En_Año * _Plazo_En_Meses</f>
        <v>6</v>
      </c>
      <c r="D30" s="22">
        <v>22</v>
      </c>
      <c r="E30" s="23">
        <f t="shared" si="3"/>
        <v>34829</v>
      </c>
      <c r="F30" s="23">
        <f t="shared" si="4"/>
        <v>493.41083333333341</v>
      </c>
      <c r="G30" s="23">
        <f t="shared" si="5"/>
        <v>59.209300000000006</v>
      </c>
      <c r="H30" s="23">
        <f t="shared" si="6"/>
        <v>5578.8031758783345</v>
      </c>
      <c r="I30" s="23">
        <f t="shared" si="7"/>
        <v>6072.2140092116679</v>
      </c>
      <c r="J30" s="23">
        <f t="shared" si="8"/>
        <v>29250.196824121667</v>
      </c>
      <c r="K30" s="23">
        <f t="shared" si="0"/>
        <v>5578.8031758783327</v>
      </c>
      <c r="L30" s="23">
        <f t="shared" si="9"/>
        <v>120</v>
      </c>
      <c r="M30" s="23">
        <f t="shared" si="1"/>
        <v>613.41083333333518</v>
      </c>
      <c r="N30" s="23">
        <f t="shared" si="2"/>
        <v>34829</v>
      </c>
    </row>
    <row r="31" spans="1:14">
      <c r="A31" s="25" t="s">
        <v>36</v>
      </c>
      <c r="B31" s="23">
        <f>PPMT(_Tasa_Nivelada/_Periodos_por_Año,1,_Num_Periodos,-_Monto_Línea)</f>
        <v>5578.8031758783345</v>
      </c>
      <c r="D31" s="22">
        <v>23</v>
      </c>
      <c r="E31" s="23">
        <f t="shared" si="3"/>
        <v>34829</v>
      </c>
      <c r="F31" s="23">
        <f t="shared" si="4"/>
        <v>493.41083333333341</v>
      </c>
      <c r="G31" s="23">
        <f t="shared" si="5"/>
        <v>59.209300000000006</v>
      </c>
      <c r="H31" s="23">
        <f t="shared" si="6"/>
        <v>5578.8031758783345</v>
      </c>
      <c r="I31" s="23">
        <f t="shared" si="7"/>
        <v>6072.2140092116679</v>
      </c>
      <c r="J31" s="23">
        <f t="shared" si="8"/>
        <v>29250.196824121667</v>
      </c>
      <c r="K31" s="23">
        <f t="shared" si="0"/>
        <v>5578.8031758783327</v>
      </c>
      <c r="L31" s="23">
        <f t="shared" si="9"/>
        <v>120</v>
      </c>
      <c r="M31" s="23">
        <f t="shared" si="1"/>
        <v>613.41083333333518</v>
      </c>
      <c r="N31" s="23">
        <f t="shared" si="2"/>
        <v>34829</v>
      </c>
    </row>
    <row r="32" spans="1:14">
      <c r="A32" s="25" t="s">
        <v>37</v>
      </c>
      <c r="B32" s="23">
        <f>_Monto_Línea * _Tasa_Nivelada / _Dias_en_Año * _Dias_por_Periodo</f>
        <v>552.62013333333346</v>
      </c>
      <c r="D32" s="22">
        <v>24</v>
      </c>
      <c r="E32" s="23">
        <f t="shared" si="3"/>
        <v>34829</v>
      </c>
      <c r="F32" s="23">
        <f t="shared" si="4"/>
        <v>493.41083333333341</v>
      </c>
      <c r="G32" s="23">
        <f t="shared" si="5"/>
        <v>59.209300000000006</v>
      </c>
      <c r="H32" s="23">
        <f t="shared" si="6"/>
        <v>5578.8031758783345</v>
      </c>
      <c r="I32" s="23">
        <f t="shared" si="7"/>
        <v>6072.2140092116679</v>
      </c>
      <c r="J32" s="23">
        <f t="shared" si="8"/>
        <v>29250.196824121667</v>
      </c>
      <c r="K32" s="23">
        <f t="shared" si="0"/>
        <v>5578.8031758783327</v>
      </c>
      <c r="L32" s="23">
        <f t="shared" si="9"/>
        <v>120</v>
      </c>
      <c r="M32" s="23">
        <f t="shared" si="1"/>
        <v>613.41083333333518</v>
      </c>
      <c r="N32" s="23">
        <f t="shared" si="2"/>
        <v>34829</v>
      </c>
    </row>
    <row r="33" spans="1:14">
      <c r="A33" s="25" t="s">
        <v>38</v>
      </c>
      <c r="B33" s="23">
        <f>_Capital_Pago + _Interés_Pago</f>
        <v>6131.4233092116683</v>
      </c>
      <c r="D33" s="22">
        <v>25</v>
      </c>
      <c r="E33" s="23">
        <f t="shared" si="3"/>
        <v>34829</v>
      </c>
      <c r="F33" s="23">
        <f t="shared" si="4"/>
        <v>493.41083333333341</v>
      </c>
      <c r="G33" s="23">
        <f t="shared" si="5"/>
        <v>59.209300000000006</v>
      </c>
      <c r="H33" s="23">
        <f t="shared" si="6"/>
        <v>5578.8031758783345</v>
      </c>
      <c r="I33" s="23">
        <f t="shared" si="7"/>
        <v>6072.2140092116679</v>
      </c>
      <c r="J33" s="23">
        <f t="shared" si="8"/>
        <v>29250.196824121667</v>
      </c>
      <c r="K33" s="23">
        <f t="shared" si="0"/>
        <v>5578.8031758783327</v>
      </c>
      <c r="L33" s="23">
        <f t="shared" si="9"/>
        <v>120</v>
      </c>
      <c r="M33" s="23">
        <f t="shared" si="1"/>
        <v>613.41083333333518</v>
      </c>
      <c r="N33" s="23">
        <f t="shared" si="2"/>
        <v>34829</v>
      </c>
    </row>
    <row r="34" spans="1:14">
      <c r="A34" s="25"/>
      <c r="D34" s="22">
        <v>26</v>
      </c>
      <c r="E34" s="23">
        <f t="shared" si="3"/>
        <v>34829</v>
      </c>
      <c r="F34" s="23">
        <f t="shared" si="4"/>
        <v>493.41083333333341</v>
      </c>
      <c r="G34" s="23">
        <f t="shared" si="5"/>
        <v>59.209300000000006</v>
      </c>
      <c r="H34" s="23">
        <f t="shared" si="6"/>
        <v>5578.8031758783345</v>
      </c>
      <c r="I34" s="23">
        <f t="shared" si="7"/>
        <v>6072.2140092116679</v>
      </c>
      <c r="J34" s="23">
        <f t="shared" si="8"/>
        <v>29250.196824121667</v>
      </c>
      <c r="K34" s="23">
        <f t="shared" si="0"/>
        <v>5578.8031758783327</v>
      </c>
      <c r="L34" s="23">
        <f t="shared" si="9"/>
        <v>120</v>
      </c>
      <c r="M34" s="23">
        <f t="shared" si="1"/>
        <v>613.41083333333518</v>
      </c>
      <c r="N34" s="23">
        <f t="shared" si="2"/>
        <v>34829</v>
      </c>
    </row>
    <row r="35" spans="1:14">
      <c r="D35" s="22">
        <v>27</v>
      </c>
      <c r="E35" s="23">
        <f t="shared" si="3"/>
        <v>34829</v>
      </c>
      <c r="F35" s="23">
        <f t="shared" si="4"/>
        <v>493.41083333333341</v>
      </c>
      <c r="G35" s="23">
        <f t="shared" si="5"/>
        <v>59.209300000000006</v>
      </c>
      <c r="H35" s="23">
        <f t="shared" si="6"/>
        <v>5578.8031758783345</v>
      </c>
      <c r="I35" s="23">
        <f t="shared" si="7"/>
        <v>6072.2140092116679</v>
      </c>
      <c r="J35" s="23">
        <f t="shared" si="8"/>
        <v>29250.196824121667</v>
      </c>
      <c r="K35" s="23">
        <f t="shared" si="0"/>
        <v>5578.8031758783327</v>
      </c>
      <c r="L35" s="23">
        <f t="shared" si="9"/>
        <v>120</v>
      </c>
      <c r="M35" s="23">
        <f t="shared" si="1"/>
        <v>613.41083333333518</v>
      </c>
      <c r="N35" s="23">
        <f t="shared" si="2"/>
        <v>34829</v>
      </c>
    </row>
    <row r="36" spans="1:14">
      <c r="D36" s="22">
        <v>28</v>
      </c>
      <c r="E36" s="23">
        <f t="shared" si="3"/>
        <v>34829</v>
      </c>
      <c r="F36" s="23">
        <f t="shared" si="4"/>
        <v>493.41083333333341</v>
      </c>
      <c r="G36" s="23">
        <f t="shared" si="5"/>
        <v>59.209300000000006</v>
      </c>
      <c r="H36" s="23">
        <f t="shared" si="6"/>
        <v>5578.8031758783345</v>
      </c>
      <c r="I36" s="23">
        <f t="shared" si="7"/>
        <v>6072.2140092116679</v>
      </c>
      <c r="J36" s="23">
        <f t="shared" si="8"/>
        <v>29250.196824121667</v>
      </c>
      <c r="K36" s="23">
        <f t="shared" si="0"/>
        <v>5578.8031758783327</v>
      </c>
      <c r="L36" s="23">
        <f t="shared" si="9"/>
        <v>120</v>
      </c>
      <c r="M36" s="23">
        <f t="shared" si="1"/>
        <v>613.41083333333518</v>
      </c>
      <c r="N36" s="23">
        <f t="shared" si="2"/>
        <v>34829</v>
      </c>
    </row>
    <row r="37" spans="1:14">
      <c r="D37" s="22">
        <v>29</v>
      </c>
      <c r="E37" s="23">
        <f t="shared" si="3"/>
        <v>34829</v>
      </c>
      <c r="F37" s="23">
        <f t="shared" si="4"/>
        <v>493.41083333333341</v>
      </c>
      <c r="G37" s="23">
        <f t="shared" si="5"/>
        <v>59.209300000000006</v>
      </c>
      <c r="H37" s="23">
        <f t="shared" si="6"/>
        <v>5578.8031758783345</v>
      </c>
      <c r="I37" s="23">
        <f t="shared" si="7"/>
        <v>6072.2140092116679</v>
      </c>
      <c r="J37" s="23">
        <f t="shared" si="8"/>
        <v>29250.196824121667</v>
      </c>
      <c r="K37" s="23">
        <f t="shared" si="0"/>
        <v>5578.8031758783327</v>
      </c>
      <c r="L37" s="23">
        <f t="shared" si="9"/>
        <v>120</v>
      </c>
      <c r="M37" s="23">
        <f t="shared" si="1"/>
        <v>613.41083333333518</v>
      </c>
      <c r="N37" s="23">
        <f t="shared" si="2"/>
        <v>34829</v>
      </c>
    </row>
    <row r="38" spans="1:14">
      <c r="D38" s="22">
        <v>30</v>
      </c>
      <c r="E38" s="23">
        <f t="shared" si="3"/>
        <v>34829</v>
      </c>
      <c r="F38" s="23">
        <f t="shared" si="4"/>
        <v>493.41083333333341</v>
      </c>
      <c r="G38" s="23">
        <f t="shared" si="5"/>
        <v>59.209300000000006</v>
      </c>
      <c r="H38" s="23">
        <f t="shared" si="6"/>
        <v>5578.8031758783345</v>
      </c>
      <c r="I38" s="23">
        <f t="shared" si="7"/>
        <v>6072.2140092116679</v>
      </c>
      <c r="J38" s="23">
        <f t="shared" si="8"/>
        <v>29250.196824121667</v>
      </c>
      <c r="K38" s="23">
        <f t="shared" si="0"/>
        <v>5578.8031758783327</v>
      </c>
      <c r="L38" s="23">
        <f t="shared" si="9"/>
        <v>120</v>
      </c>
      <c r="M38" s="23">
        <f t="shared" si="1"/>
        <v>613.41083333333518</v>
      </c>
      <c r="N38" s="23">
        <f t="shared" si="2"/>
        <v>34829</v>
      </c>
    </row>
    <row r="39" spans="1:14">
      <c r="D39" s="22">
        <v>31</v>
      </c>
      <c r="E39" s="23">
        <f t="shared" si="3"/>
        <v>34829</v>
      </c>
      <c r="F39" s="23">
        <f t="shared" si="4"/>
        <v>493.41083333333341</v>
      </c>
      <c r="G39" s="23">
        <f t="shared" si="5"/>
        <v>59.209300000000006</v>
      </c>
      <c r="H39" s="23">
        <f t="shared" si="6"/>
        <v>5578.8031758783345</v>
      </c>
      <c r="I39" s="23">
        <f t="shared" si="7"/>
        <v>6072.2140092116679</v>
      </c>
      <c r="J39" s="23">
        <f t="shared" si="8"/>
        <v>29250.196824121667</v>
      </c>
      <c r="K39" s="23">
        <f t="shared" si="0"/>
        <v>5578.8031758783327</v>
      </c>
      <c r="L39" s="23">
        <f t="shared" si="9"/>
        <v>120</v>
      </c>
      <c r="M39" s="23">
        <f t="shared" si="1"/>
        <v>613.41083333333518</v>
      </c>
      <c r="N39" s="23">
        <f t="shared" si="2"/>
        <v>34829</v>
      </c>
    </row>
    <row r="40" spans="1:14">
      <c r="D40" s="22">
        <v>32</v>
      </c>
      <c r="E40" s="23">
        <f t="shared" si="3"/>
        <v>34829</v>
      </c>
      <c r="F40" s="23">
        <f t="shared" si="4"/>
        <v>493.41083333333341</v>
      </c>
      <c r="G40" s="23">
        <f t="shared" si="5"/>
        <v>59.209300000000006</v>
      </c>
      <c r="H40" s="23">
        <f t="shared" si="6"/>
        <v>5578.8031758783345</v>
      </c>
      <c r="I40" s="23">
        <f t="shared" si="7"/>
        <v>6072.2140092116679</v>
      </c>
      <c r="J40" s="23">
        <f t="shared" si="8"/>
        <v>29250.196824121667</v>
      </c>
      <c r="K40" s="23">
        <f t="shared" si="0"/>
        <v>5578.8031758783327</v>
      </c>
      <c r="L40" s="23">
        <f t="shared" si="9"/>
        <v>120</v>
      </c>
      <c r="M40" s="23">
        <f t="shared" si="1"/>
        <v>613.41083333333518</v>
      </c>
      <c r="N40" s="23">
        <f t="shared" si="2"/>
        <v>34829</v>
      </c>
    </row>
    <row r="41" spans="1:14">
      <c r="D41" s="22">
        <v>33</v>
      </c>
      <c r="E41" s="23">
        <f t="shared" si="3"/>
        <v>34829</v>
      </c>
      <c r="F41" s="23">
        <f t="shared" si="4"/>
        <v>493.41083333333341</v>
      </c>
      <c r="G41" s="23">
        <f t="shared" si="5"/>
        <v>59.209300000000006</v>
      </c>
      <c r="H41" s="23">
        <f t="shared" si="6"/>
        <v>5578.8031758783345</v>
      </c>
      <c r="I41" s="23">
        <f t="shared" si="7"/>
        <v>6072.2140092116679</v>
      </c>
      <c r="J41" s="23">
        <f t="shared" si="8"/>
        <v>29250.196824121667</v>
      </c>
      <c r="K41" s="23">
        <f t="shared" si="0"/>
        <v>5578.8031758783327</v>
      </c>
      <c r="L41" s="23">
        <f t="shared" si="9"/>
        <v>120</v>
      </c>
      <c r="M41" s="23">
        <f t="shared" si="1"/>
        <v>613.41083333333518</v>
      </c>
      <c r="N41" s="23">
        <f t="shared" si="2"/>
        <v>34829</v>
      </c>
    </row>
    <row r="42" spans="1:14">
      <c r="D42" s="22">
        <v>34</v>
      </c>
      <c r="E42" s="23">
        <f t="shared" si="3"/>
        <v>34829</v>
      </c>
      <c r="F42" s="23">
        <f t="shared" si="4"/>
        <v>493.41083333333341</v>
      </c>
      <c r="G42" s="23">
        <f t="shared" si="5"/>
        <v>59.209300000000006</v>
      </c>
      <c r="H42" s="23">
        <f t="shared" si="6"/>
        <v>5578.8031758783345</v>
      </c>
      <c r="I42" s="23">
        <f t="shared" si="7"/>
        <v>6072.2140092116679</v>
      </c>
      <c r="J42" s="23">
        <f t="shared" si="8"/>
        <v>29250.196824121667</v>
      </c>
      <c r="K42" s="23">
        <f t="shared" si="0"/>
        <v>5578.8031758783327</v>
      </c>
      <c r="L42" s="23">
        <f t="shared" si="9"/>
        <v>120</v>
      </c>
      <c r="M42" s="23">
        <f t="shared" si="1"/>
        <v>613.41083333333518</v>
      </c>
      <c r="N42" s="23">
        <f t="shared" si="2"/>
        <v>34829</v>
      </c>
    </row>
    <row r="43" spans="1:14">
      <c r="D43" s="22">
        <v>35</v>
      </c>
      <c r="E43" s="23">
        <f t="shared" si="3"/>
        <v>34829</v>
      </c>
      <c r="F43" s="23">
        <f t="shared" si="4"/>
        <v>493.41083333333341</v>
      </c>
      <c r="G43" s="23">
        <f t="shared" si="5"/>
        <v>59.209300000000006</v>
      </c>
      <c r="H43" s="23">
        <f t="shared" si="6"/>
        <v>5578.8031758783345</v>
      </c>
      <c r="I43" s="23">
        <f t="shared" si="7"/>
        <v>6072.2140092116679</v>
      </c>
      <c r="J43" s="23">
        <f t="shared" si="8"/>
        <v>29250.196824121667</v>
      </c>
      <c r="K43" s="23">
        <f t="shared" si="0"/>
        <v>5578.8031758783327</v>
      </c>
      <c r="L43" s="23">
        <f t="shared" si="9"/>
        <v>120</v>
      </c>
      <c r="M43" s="23">
        <f t="shared" si="1"/>
        <v>613.41083333333518</v>
      </c>
      <c r="N43" s="23">
        <f t="shared" si="2"/>
        <v>34829</v>
      </c>
    </row>
    <row r="44" spans="1:14">
      <c r="D44" s="22">
        <v>36</v>
      </c>
      <c r="E44" s="23">
        <f t="shared" si="3"/>
        <v>34829</v>
      </c>
      <c r="F44" s="23">
        <f t="shared" si="4"/>
        <v>493.41083333333341</v>
      </c>
      <c r="G44" s="23">
        <f t="shared" si="5"/>
        <v>59.209300000000006</v>
      </c>
      <c r="H44" s="23">
        <f t="shared" si="6"/>
        <v>34829</v>
      </c>
      <c r="I44" s="23">
        <f t="shared" si="7"/>
        <v>35322.410833333335</v>
      </c>
      <c r="J44" s="23">
        <f t="shared" si="8"/>
        <v>0</v>
      </c>
      <c r="K44" s="23">
        <f t="shared" si="0"/>
        <v>0</v>
      </c>
      <c r="L44" s="23">
        <f t="shared" si="9"/>
        <v>0</v>
      </c>
      <c r="M44" s="23">
        <f t="shared" si="1"/>
        <v>35322.410833333335</v>
      </c>
      <c r="N44" s="23">
        <f t="shared" si="2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39</vt:i4>
      </vt:variant>
    </vt:vector>
  </HeadingPairs>
  <TitlesOfParts>
    <vt:vector size="42" baseType="lpstr">
      <vt:lpstr>DATA IN</vt:lpstr>
      <vt:lpstr>DATA OUT</vt:lpstr>
      <vt:lpstr>CAT Revolvente</vt:lpstr>
      <vt:lpstr>'CAT Revolvente'!__Capital</vt:lpstr>
      <vt:lpstr>'CAT Revolvente'!__Comisión</vt:lpstr>
      <vt:lpstr>'CAT Revolvente'!__Disposición</vt:lpstr>
      <vt:lpstr>'CAT Revolvente'!__FlujosCAT</vt:lpstr>
      <vt:lpstr>'CAT Revolvente'!__Interés</vt:lpstr>
      <vt:lpstr>'CAT Revolvente'!__Iva</vt:lpstr>
      <vt:lpstr>'CAT Revolvente'!__Pago</vt:lpstr>
      <vt:lpstr>'CAT Revolvente'!__Periodo</vt:lpstr>
      <vt:lpstr>'CAT Revolvente'!__Saldo</vt:lpstr>
      <vt:lpstr>'CAT Revolvente'!__SaldoFinal</vt:lpstr>
      <vt:lpstr>'CAT Revolvente'!__SaldoPostPago</vt:lpstr>
      <vt:lpstr>'CAT Revolvente'!_Años_Revolvencia</vt:lpstr>
      <vt:lpstr>'CAT Revolvente'!_Capital_Pago</vt:lpstr>
      <vt:lpstr>'CAT Revolvente'!_Comisión_Redisposición</vt:lpstr>
      <vt:lpstr>'CAT Revolvente'!_Comisiones_Iniciales</vt:lpstr>
      <vt:lpstr>'CAT Revolvente'!_Corte_Revolvencia</vt:lpstr>
      <vt:lpstr>'CAT Revolvente'!_Dias_en_Año</vt:lpstr>
      <vt:lpstr>'CAT Revolvente'!_Dias_por_Periodo</vt:lpstr>
      <vt:lpstr>'CAT Revolvente'!_Interés_Pago</vt:lpstr>
      <vt:lpstr>'CAT Revolvente'!_Irr_Flujos</vt:lpstr>
      <vt:lpstr>'CAT Revolvente'!_Meses_En_Año</vt:lpstr>
      <vt:lpstr>'CAT Revolvente'!_Monto_Línea</vt:lpstr>
      <vt:lpstr>'CAT Revolvente'!_Num_Periodos</vt:lpstr>
      <vt:lpstr>'CAT Revolvente'!_Pago_Fijo</vt:lpstr>
      <vt:lpstr>'CAT Revolvente'!_Periodos_por_Año</vt:lpstr>
      <vt:lpstr>'CAT Revolvente'!_Plazo_En_Meses</vt:lpstr>
      <vt:lpstr>'CAT Revolvente'!_Tasa_Anual</vt:lpstr>
      <vt:lpstr>'CAT Revolvente'!_Tasa_IVA_Interes</vt:lpstr>
      <vt:lpstr>'CAT Revolvente'!_Tasa_Nivelada</vt:lpstr>
      <vt:lpstr>'CAT Revolvente'!CAT</vt:lpstr>
      <vt:lpstr>CAT</vt:lpstr>
      <vt:lpstr>Comisión_IN</vt:lpstr>
      <vt:lpstr>Frecuencia_IN</vt:lpstr>
      <vt:lpstr>ID_IN</vt:lpstr>
      <vt:lpstr>IVA_IN</vt:lpstr>
      <vt:lpstr>Monto_IN</vt:lpstr>
      <vt:lpstr>Plazo_IN</vt:lpstr>
      <vt:lpstr>SIC_IN</vt:lpstr>
      <vt:lpstr>Tasa_IN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MAS</cp:lastModifiedBy>
  <dcterms:created xsi:type="dcterms:W3CDTF">2016-02-15T19:01:18Z</dcterms:created>
  <dcterms:modified xsi:type="dcterms:W3CDTF">2016-02-16T17:03:32Z</dcterms:modified>
</cp:coreProperties>
</file>