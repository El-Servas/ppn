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19080" yWindow="-15" windowWidth="19125" windowHeight="11775"/>
  </bookViews>
  <sheets>
    <sheet name="CAT_RT" sheetId="1" r:id="rId1"/>
  </sheets>
  <definedNames>
    <definedName name="__Capital" localSheetId="0">CAT_RT!$H$6:$H$65536</definedName>
    <definedName name="__Comisión" localSheetId="0">CAT_RT!$L$6:$L$65536</definedName>
    <definedName name="__Disposición" localSheetId="0">CAT_RT!$K$6:$K$65536</definedName>
    <definedName name="__FlujosCAT" localSheetId="0">CAT_RT!$M$6:$M$65536</definedName>
    <definedName name="__Interés" localSheetId="0">CAT_RT!$F$6:$F$65536</definedName>
    <definedName name="__Iva" localSheetId="0">CAT_RT!$G$6:$G$65536</definedName>
    <definedName name="__Pago" localSheetId="0">CAT_RT!$I$6:$I$65536</definedName>
    <definedName name="__Periodo" localSheetId="0">CAT_RT!$D$6:$D$65536</definedName>
    <definedName name="__Saldo" localSheetId="0">CAT_RT!$E$6:$E$65536</definedName>
    <definedName name="__SaldoFinal" localSheetId="0">CAT_RT!$N$6:$N$65536</definedName>
    <definedName name="__SaldoPostPago" localSheetId="0">CAT_RT!$J$6:$J$65536</definedName>
    <definedName name="_Años_Revolvencia" localSheetId="0">CAT_RT!$B$21</definedName>
    <definedName name="_Capital_Pago" localSheetId="0">CAT_RT!$B$29</definedName>
    <definedName name="_Corte_Revolvencia" localSheetId="0">CAT_RT!$B$25</definedName>
    <definedName name="_Dias_por_Periodo" localSheetId="0">CAT_RT!$B$19</definedName>
    <definedName name="_Interés_Pago" localSheetId="0">CAT_RT!$B$30</definedName>
    <definedName name="_Irr_Flujos" localSheetId="0">CAT_RT!$Q$5</definedName>
    <definedName name="_Nombre_Componente" localSheetId="0">CAT_RT!$A$1</definedName>
    <definedName name="_Num_Periodos" localSheetId="0">CAT_RT!$B$28</definedName>
    <definedName name="_Pago_Fijo" localSheetId="0">CAT_RT!$B$31</definedName>
    <definedName name="_Periodos_por_Año" localSheetId="0">CAT_RT!$B$18</definedName>
    <definedName name="_Tasa_Nivelada" localSheetId="0">CAT_RT!$B$27</definedName>
    <definedName name="_Versión_Componente" localSheetId="0">CAT_RT!$B$3</definedName>
    <definedName name="i.Comisión_Redisposición" localSheetId="0">CAT_RT!$B$9</definedName>
    <definedName name="i.Comisiones_Iniciales" localSheetId="0">CAT_RT!$B$8</definedName>
    <definedName name="i.Dias_en_Año" localSheetId="0">CAT_RT!$B$13</definedName>
    <definedName name="i.Meses_En_Año" localSheetId="0">CAT_RT!$B$12</definedName>
    <definedName name="i.Monto_Línea" localSheetId="0">CAT_RT!$B$5</definedName>
    <definedName name="i.Plazo_En_Meses" localSheetId="0">CAT_RT!$B$10</definedName>
    <definedName name="i.Tasa_Anual" localSheetId="0">CAT_RT!$B$6</definedName>
    <definedName name="i.Tasa_IVA_Interes" localSheetId="0">CAT_RT!$B$7</definedName>
    <definedName name="o.CAT" localSheetId="0">CAT_RT!$Q$6</definedName>
  </definedNames>
  <calcPr calcId="125725"/>
</workbook>
</file>

<file path=xl/calcChain.xml><?xml version="1.0" encoding="utf-8"?>
<calcChain xmlns="http://schemas.openxmlformats.org/spreadsheetml/2006/main">
  <c r="B6" i="1"/>
  <c r="B27"/>
  <c r="B30" s="1"/>
  <c r="L6"/>
  <c r="B28"/>
  <c r="B29" s="1"/>
  <c r="B31" s="1"/>
  <c r="B25"/>
  <c r="K6"/>
  <c r="N6" s="1"/>
  <c r="E7" s="1"/>
  <c r="F7" l="1"/>
  <c r="M6"/>
  <c r="H7" l="1"/>
  <c r="J7" s="1"/>
  <c r="G7"/>
  <c r="K7" l="1"/>
  <c r="L7" s="1"/>
  <c r="I7"/>
  <c r="N7" l="1"/>
  <c r="E8" s="1"/>
  <c r="M7"/>
  <c r="F8" l="1"/>
  <c r="G8" l="1"/>
  <c r="H8" s="1"/>
  <c r="J8" l="1"/>
  <c r="I8"/>
  <c r="K8" l="1"/>
  <c r="L8" s="1"/>
  <c r="N8" l="1"/>
  <c r="E9" s="1"/>
  <c r="M8"/>
  <c r="F9" l="1"/>
  <c r="G9" l="1"/>
  <c r="H9"/>
  <c r="J9" s="1"/>
  <c r="I9" l="1"/>
  <c r="M9" s="1"/>
  <c r="N9"/>
  <c r="E10" s="1"/>
  <c r="K9"/>
  <c r="L9" s="1"/>
  <c r="F10" l="1"/>
  <c r="G10" l="1"/>
  <c r="H10" s="1"/>
  <c r="J10" l="1"/>
  <c r="I10"/>
  <c r="K10" l="1"/>
  <c r="L10" s="1"/>
  <c r="M10" l="1"/>
  <c r="N10"/>
  <c r="E11" s="1"/>
  <c r="F11" l="1"/>
  <c r="G11" l="1"/>
  <c r="H11" s="1"/>
  <c r="J11" l="1"/>
  <c r="I11"/>
  <c r="K11" l="1"/>
  <c r="L11" s="1"/>
  <c r="M11" l="1"/>
  <c r="N11"/>
  <c r="E12" s="1"/>
  <c r="F12" l="1"/>
  <c r="G12" l="1"/>
  <c r="H12" s="1"/>
  <c r="J12" l="1"/>
  <c r="I12"/>
  <c r="K12" l="1"/>
  <c r="L12" s="1"/>
  <c r="N12" l="1"/>
  <c r="E13" s="1"/>
  <c r="M12"/>
  <c r="F13" l="1"/>
  <c r="G13" l="1"/>
  <c r="H13" s="1"/>
  <c r="J13" l="1"/>
  <c r="I13"/>
  <c r="N13" l="1"/>
  <c r="E14" s="1"/>
  <c r="K13"/>
  <c r="L13" s="1"/>
  <c r="F14" l="1"/>
  <c r="M13"/>
  <c r="G14" l="1"/>
  <c r="H14" s="1"/>
  <c r="J14" l="1"/>
  <c r="I14"/>
  <c r="K14" l="1"/>
  <c r="L14" s="1"/>
  <c r="N14" l="1"/>
  <c r="E15" s="1"/>
  <c r="M14"/>
  <c r="F15" l="1"/>
  <c r="G15" l="1"/>
  <c r="H15" s="1"/>
  <c r="J15" l="1"/>
  <c r="I15"/>
  <c r="K15" l="1"/>
  <c r="L15" s="1"/>
  <c r="M15" l="1"/>
  <c r="N15"/>
  <c r="E16" s="1"/>
  <c r="F16" l="1"/>
  <c r="G16" l="1"/>
  <c r="H16" s="1"/>
  <c r="J16" l="1"/>
  <c r="I16"/>
  <c r="K16" l="1"/>
  <c r="L16" s="1"/>
  <c r="N16" l="1"/>
  <c r="E17" s="1"/>
  <c r="M16"/>
  <c r="F17" l="1"/>
  <c r="G17" l="1"/>
  <c r="H17" s="1"/>
  <c r="J17" l="1"/>
  <c r="I17"/>
  <c r="K17" l="1"/>
  <c r="L17" s="1"/>
  <c r="N17" l="1"/>
  <c r="E18" s="1"/>
  <c r="M17"/>
  <c r="F18" l="1"/>
  <c r="G18" l="1"/>
  <c r="H18"/>
  <c r="J18" s="1"/>
  <c r="I18" l="1"/>
  <c r="K18"/>
  <c r="L18" s="1"/>
  <c r="N18" l="1"/>
  <c r="E19" s="1"/>
  <c r="M18"/>
  <c r="F19" l="1"/>
  <c r="G19" l="1"/>
  <c r="H19"/>
  <c r="J19" s="1"/>
  <c r="I19" l="1"/>
  <c r="K19"/>
  <c r="L19" s="1"/>
  <c r="M19" l="1"/>
  <c r="N19"/>
  <c r="E20" s="1"/>
  <c r="F20" l="1"/>
  <c r="G20" l="1"/>
  <c r="H20"/>
  <c r="J20" s="1"/>
  <c r="K20" l="1"/>
  <c r="L20" s="1"/>
  <c r="I20"/>
  <c r="N20" l="1"/>
  <c r="E21" s="1"/>
  <c r="M20"/>
  <c r="F21" l="1"/>
  <c r="G21" l="1"/>
  <c r="H21" s="1"/>
  <c r="J21" l="1"/>
  <c r="I21"/>
  <c r="N21" l="1"/>
  <c r="E22" s="1"/>
  <c r="K21"/>
  <c r="L21" s="1"/>
  <c r="M21"/>
  <c r="F22" l="1"/>
  <c r="G22" l="1"/>
  <c r="H22" s="1"/>
  <c r="J22" l="1"/>
  <c r="I22"/>
  <c r="K22" l="1"/>
  <c r="L22" s="1"/>
  <c r="N22" l="1"/>
  <c r="E23" s="1"/>
  <c r="M22"/>
  <c r="F23" l="1"/>
  <c r="G23" l="1"/>
  <c r="H23"/>
  <c r="J23" s="1"/>
  <c r="I23" l="1"/>
  <c r="M23" s="1"/>
  <c r="K23"/>
  <c r="L23" s="1"/>
  <c r="N23" l="1"/>
  <c r="E24" s="1"/>
  <c r="F24" l="1"/>
  <c r="G24" l="1"/>
  <c r="H24"/>
  <c r="J24" s="1"/>
  <c r="I24" l="1"/>
  <c r="K24"/>
  <c r="L24" s="1"/>
  <c r="M24" l="1"/>
  <c r="N24"/>
  <c r="E25" s="1"/>
  <c r="F25" l="1"/>
  <c r="G25" l="1"/>
  <c r="H25"/>
  <c r="J25" s="1"/>
  <c r="I25" l="1"/>
  <c r="M25" s="1"/>
  <c r="K25"/>
  <c r="L25" s="1"/>
  <c r="N25" l="1"/>
  <c r="E26" s="1"/>
  <c r="F26" l="1"/>
  <c r="G26" l="1"/>
  <c r="H26"/>
  <c r="J26" s="1"/>
  <c r="I26" l="1"/>
  <c r="K26"/>
  <c r="L26" s="1"/>
  <c r="M26" l="1"/>
  <c r="N26"/>
  <c r="E27" s="1"/>
  <c r="F27" l="1"/>
  <c r="G27" l="1"/>
  <c r="H27"/>
  <c r="J27" s="1"/>
  <c r="I27" l="1"/>
  <c r="M27" s="1"/>
  <c r="N27"/>
  <c r="E28" s="1"/>
  <c r="K27"/>
  <c r="L27" s="1"/>
  <c r="F28" l="1"/>
  <c r="G28" l="1"/>
  <c r="H28"/>
  <c r="J28" s="1"/>
  <c r="I28" l="1"/>
  <c r="K28"/>
  <c r="L28" s="1"/>
  <c r="M28" l="1"/>
  <c r="N28"/>
  <c r="E29" s="1"/>
  <c r="F29" l="1"/>
  <c r="G29" l="1"/>
  <c r="H29" s="1"/>
  <c r="J29" l="1"/>
  <c r="I29"/>
  <c r="K29" l="1"/>
  <c r="L29" s="1"/>
  <c r="N29" l="1"/>
  <c r="E30" s="1"/>
  <c r="M29"/>
  <c r="F30" l="1"/>
  <c r="G30" l="1"/>
  <c r="H30"/>
  <c r="J30" s="1"/>
  <c r="I30" l="1"/>
  <c r="K30"/>
  <c r="L30" s="1"/>
  <c r="M30" l="1"/>
  <c r="N30"/>
  <c r="E31" s="1"/>
  <c r="F31" l="1"/>
  <c r="G31" l="1"/>
  <c r="H31"/>
  <c r="J31" s="1"/>
  <c r="I31" l="1"/>
  <c r="M31" s="1"/>
  <c r="K31"/>
  <c r="L31" s="1"/>
  <c r="N31" l="1"/>
  <c r="E32" s="1"/>
  <c r="F32" l="1"/>
  <c r="G32" l="1"/>
  <c r="H32"/>
  <c r="J32" s="1"/>
  <c r="I32" l="1"/>
  <c r="K32"/>
  <c r="L32" s="1"/>
  <c r="M32" l="1"/>
  <c r="N32"/>
  <c r="E33" s="1"/>
  <c r="F33" l="1"/>
  <c r="G33" l="1"/>
  <c r="H33"/>
  <c r="J33" s="1"/>
  <c r="I33" l="1"/>
  <c r="M33" s="1"/>
  <c r="K33"/>
  <c r="L33" s="1"/>
  <c r="N33" l="1"/>
  <c r="E34" s="1"/>
  <c r="F34" l="1"/>
  <c r="G34" l="1"/>
  <c r="H34" s="1"/>
  <c r="J34" l="1"/>
  <c r="I34"/>
  <c r="K34" l="1"/>
  <c r="L34" s="1"/>
  <c r="N34" l="1"/>
  <c r="E35" s="1"/>
  <c r="M34"/>
  <c r="F35" l="1"/>
  <c r="G35" l="1"/>
  <c r="H35"/>
  <c r="J35" s="1"/>
  <c r="I35" l="1"/>
  <c r="M35" s="1"/>
  <c r="K35"/>
  <c r="L35" s="1"/>
  <c r="N35" l="1"/>
  <c r="E36" s="1"/>
  <c r="F36" l="1"/>
  <c r="G36" l="1"/>
  <c r="H36"/>
  <c r="J36" s="1"/>
  <c r="I36" l="1"/>
  <c r="K36"/>
  <c r="L36" s="1"/>
  <c r="M36" l="1"/>
  <c r="N36"/>
  <c r="E37" s="1"/>
  <c r="F37" l="1"/>
  <c r="G37" l="1"/>
  <c r="H37"/>
  <c r="J37" s="1"/>
  <c r="I37" l="1"/>
  <c r="M37" s="1"/>
  <c r="K37"/>
  <c r="L37" s="1"/>
  <c r="N37" l="1"/>
  <c r="E38" s="1"/>
  <c r="F38" l="1"/>
  <c r="G38" l="1"/>
  <c r="H38"/>
  <c r="J38" s="1"/>
  <c r="I38" l="1"/>
  <c r="K38"/>
  <c r="L38" s="1"/>
  <c r="M38" l="1"/>
  <c r="N38"/>
  <c r="E39" s="1"/>
  <c r="F39" l="1"/>
  <c r="G39" l="1"/>
  <c r="H39"/>
  <c r="J39" s="1"/>
  <c r="K39" l="1"/>
  <c r="L39" s="1"/>
  <c r="I39"/>
  <c r="N39" l="1"/>
  <c r="E40" s="1"/>
  <c r="M39"/>
  <c r="F40" l="1"/>
  <c r="G40" l="1"/>
  <c r="H40"/>
  <c r="J40" s="1"/>
  <c r="I40" l="1"/>
  <c r="M40" s="1"/>
  <c r="K40"/>
  <c r="L40" s="1"/>
  <c r="N40" l="1"/>
  <c r="E41" s="1"/>
  <c r="F41" l="1"/>
  <c r="G41" l="1"/>
  <c r="H41"/>
  <c r="J41" s="1"/>
  <c r="K41" l="1"/>
  <c r="L41" s="1"/>
  <c r="I41"/>
  <c r="N41" l="1"/>
  <c r="E42" s="1"/>
  <c r="M41"/>
  <c r="H42" l="1"/>
  <c r="J42" s="1"/>
  <c r="F42"/>
  <c r="K42" l="1"/>
  <c r="L42" s="1"/>
  <c r="G42"/>
  <c r="I42"/>
  <c r="M42" s="1"/>
  <c r="Q5" s="1"/>
  <c r="Q6" s="1"/>
  <c r="N42" l="1"/>
</calcChain>
</file>

<file path=xl/sharedStrings.xml><?xml version="1.0" encoding="utf-8"?>
<sst xmlns="http://schemas.openxmlformats.org/spreadsheetml/2006/main" count="40" uniqueCount="39">
  <si>
    <t>Tabla de Flujos</t>
  </si>
  <si>
    <t>Frecuencia CAT:</t>
  </si>
  <si>
    <t>Mensual</t>
  </si>
  <si>
    <t>IRR</t>
  </si>
  <si>
    <t>CAT</t>
  </si>
  <si>
    <t xml:space="preserve"> </t>
  </si>
  <si>
    <t>Saldo</t>
  </si>
  <si>
    <t>Interés</t>
  </si>
  <si>
    <t>Iva</t>
  </si>
  <si>
    <t>Capital</t>
  </si>
  <si>
    <t>Pago</t>
  </si>
  <si>
    <t>Saldo PostPago</t>
  </si>
  <si>
    <t>Disposición</t>
  </si>
  <si>
    <t>Comisión</t>
  </si>
  <si>
    <t>Flujo</t>
  </si>
  <si>
    <t>Saldo Final</t>
  </si>
  <si>
    <t>Años Revolvencia</t>
  </si>
  <si>
    <t>Capital Pago CAT</t>
  </si>
  <si>
    <t>Interés Pago CAT</t>
  </si>
  <si>
    <t>Pago CAT</t>
  </si>
  <si>
    <t>Meses En Año</t>
  </si>
  <si>
    <t>Dias en Año</t>
  </si>
  <si>
    <t>Periodo</t>
  </si>
  <si>
    <t>Plazo en Meses</t>
  </si>
  <si>
    <t>Num Periodos (Pago)</t>
  </si>
  <si>
    <t>Corte Revolvencia</t>
  </si>
  <si>
    <t>Parámetros</t>
  </si>
  <si>
    <t>Cálculos</t>
  </si>
  <si>
    <t>Constantes</t>
  </si>
  <si>
    <t>Periodos por Año</t>
  </si>
  <si>
    <t>Días por Periodo</t>
  </si>
  <si>
    <t>Monto Línea Crédito</t>
  </si>
  <si>
    <t>Comisiones Iniciales</t>
  </si>
  <si>
    <t>Tasa IVA Interes</t>
  </si>
  <si>
    <t>Comisión redisp</t>
  </si>
  <si>
    <t>Tasa Anual</t>
  </si>
  <si>
    <t>Tasa Nivelada</t>
  </si>
  <si>
    <t>CAT Revolvente - Tradicional con Pago Nivelado</t>
  </si>
  <si>
    <t>v1.1</t>
  </si>
</sst>
</file>

<file path=xl/styles.xml><?xml version="1.0" encoding="utf-8"?>
<styleSheet xmlns="http://schemas.openxmlformats.org/spreadsheetml/2006/main">
  <numFmts count="7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%"/>
    <numFmt numFmtId="165" formatCode="#,##0.00_ ;[Red]\-#,##0.00\ "/>
    <numFmt numFmtId="166" formatCode="_(* #,##0.00_);_(* \(#,##0.00\);_(* &quot;-&quot;??_);_(@_)"/>
    <numFmt numFmtId="167" formatCode="_(&quot;$&quot;* #,##0.00_);_(&quot;$&quot;* \(#,##0.00\);_(&quot;$&quot;* &quot;-&quot;??_);_(@_)"/>
    <numFmt numFmtId="168" formatCode="0_ ;[Red]\-0\ "/>
  </numFmts>
  <fonts count="8"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name val="Book Antiqua"/>
      <family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lightUp">
        <fgColor theme="6" tint="0.39994506668294322"/>
        <bgColor indexed="65"/>
      </patternFill>
    </fill>
    <fill>
      <patternFill patternType="lightUp">
        <fgColor theme="9" tint="0.79998168889431442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4">
    <xf numFmtId="0" fontId="0" fillId="0" borderId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2" fillId="0" borderId="0" applyNumberFormat="0" applyFill="0" applyBorder="0" applyAlignment="0" applyProtection="0">
      <alignment vertical="top"/>
      <protection locked="0"/>
    </xf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4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4" fillId="0" borderId="0"/>
    <xf numFmtId="0" fontId="1" fillId="0" borderId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0">
    <xf numFmtId="0" fontId="0" fillId="0" borderId="0" xfId="0"/>
    <xf numFmtId="0" fontId="5" fillId="2" borderId="0" xfId="0" applyFont="1" applyFill="1"/>
    <xf numFmtId="0" fontId="0" fillId="0" borderId="1" xfId="0" applyBorder="1" applyAlignment="1">
      <alignment horizontal="right"/>
    </xf>
    <xf numFmtId="0" fontId="5" fillId="0" borderId="2" xfId="0" applyFont="1" applyBorder="1" applyAlignment="1">
      <alignment horizontal="center"/>
    </xf>
    <xf numFmtId="10" fontId="4" fillId="0" borderId="3" xfId="18" applyNumberFormat="1" applyFont="1" applyBorder="1" applyAlignment="1">
      <alignment horizontal="center"/>
    </xf>
    <xf numFmtId="0" fontId="0" fillId="0" borderId="4" xfId="0" applyBorder="1" applyAlignment="1">
      <alignment horizontal="right"/>
    </xf>
    <xf numFmtId="0" fontId="0" fillId="0" borderId="0" xfId="0" applyFill="1" applyBorder="1" applyAlignment="1">
      <alignment horizontal="right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5" fillId="3" borderId="0" xfId="0" applyFont="1" applyFill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165" fontId="0" fillId="0" borderId="0" xfId="0" applyNumberFormat="1" applyFont="1" applyFill="1" applyAlignment="1">
      <alignment horizontal="center"/>
    </xf>
    <xf numFmtId="168" fontId="5" fillId="3" borderId="0" xfId="0" applyNumberFormat="1" applyFont="1" applyFill="1" applyAlignment="1">
      <alignment horizontal="center"/>
    </xf>
    <xf numFmtId="9" fontId="5" fillId="3" borderId="0" xfId="0" applyNumberFormat="1" applyFont="1" applyFill="1" applyAlignment="1">
      <alignment horizontal="center"/>
    </xf>
    <xf numFmtId="10" fontId="5" fillId="3" borderId="0" xfId="0" applyNumberFormat="1" applyFont="1" applyFill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ill="1" applyBorder="1" applyAlignment="1">
      <alignment horizontal="center"/>
    </xf>
    <xf numFmtId="0" fontId="5" fillId="4" borderId="0" xfId="0" applyFont="1" applyFill="1" applyAlignment="1">
      <alignment horizontal="center"/>
    </xf>
    <xf numFmtId="0" fontId="5" fillId="5" borderId="0" xfId="0" applyFont="1" applyFill="1"/>
    <xf numFmtId="0" fontId="5" fillId="6" borderId="0" xfId="0" applyFont="1" applyFill="1"/>
    <xf numFmtId="0" fontId="5" fillId="6" borderId="5" xfId="0" applyFont="1" applyFill="1" applyBorder="1" applyAlignment="1">
      <alignment horizontal="center"/>
    </xf>
    <xf numFmtId="164" fontId="4" fillId="6" borderId="6" xfId="18" applyNumberFormat="1" applyFont="1" applyFill="1" applyBorder="1" applyAlignment="1">
      <alignment horizontal="center"/>
    </xf>
    <xf numFmtId="0" fontId="0" fillId="5" borderId="0" xfId="0" applyFill="1"/>
    <xf numFmtId="0" fontId="5" fillId="7" borderId="0" xfId="0" applyFont="1" applyFill="1"/>
    <xf numFmtId="0" fontId="0" fillId="7" borderId="0" xfId="0" applyFill="1"/>
    <xf numFmtId="0" fontId="5" fillId="8" borderId="0" xfId="0" applyFont="1" applyFill="1"/>
    <xf numFmtId="0" fontId="0" fillId="8" borderId="0" xfId="0" applyFill="1"/>
    <xf numFmtId="0" fontId="5" fillId="4" borderId="7" xfId="0" applyFont="1" applyFill="1" applyBorder="1" applyAlignment="1">
      <alignment horizontal="center"/>
    </xf>
    <xf numFmtId="0" fontId="5" fillId="4" borderId="8" xfId="0" applyFont="1" applyFill="1" applyBorder="1" applyAlignment="1">
      <alignment horizontal="center"/>
    </xf>
    <xf numFmtId="0" fontId="6" fillId="8" borderId="9" xfId="0" applyFont="1" applyFill="1" applyBorder="1" applyAlignment="1">
      <alignment horizontal="right"/>
    </xf>
    <xf numFmtId="0" fontId="5" fillId="8" borderId="10" xfId="0" applyFont="1" applyFill="1" applyBorder="1" applyAlignment="1">
      <alignment horizontal="center"/>
    </xf>
    <xf numFmtId="165" fontId="0" fillId="9" borderId="0" xfId="0" applyNumberFormat="1" applyFill="1" applyAlignment="1">
      <alignment horizontal="center"/>
    </xf>
    <xf numFmtId="165" fontId="0" fillId="9" borderId="0" xfId="0" applyNumberFormat="1" applyFont="1" applyFill="1" applyAlignment="1">
      <alignment horizontal="center"/>
    </xf>
    <xf numFmtId="0" fontId="7" fillId="9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10" fontId="4" fillId="0" borderId="0" xfId="18" applyNumberFormat="1" applyFont="1" applyAlignment="1">
      <alignment horizontal="center"/>
    </xf>
    <xf numFmtId="0" fontId="5" fillId="0" borderId="0" xfId="0" applyFont="1" applyFill="1"/>
    <xf numFmtId="0" fontId="5" fillId="2" borderId="0" xfId="0" applyFont="1" applyFill="1" applyAlignment="1">
      <alignment horizontal="center"/>
    </xf>
  </cellXfs>
  <cellStyles count="24">
    <cellStyle name="Comma 2" xfId="1"/>
    <cellStyle name="Comma 3" xfId="2"/>
    <cellStyle name="Comma 4" xfId="3"/>
    <cellStyle name="Currency 2" xfId="4"/>
    <cellStyle name="Currency 3" xfId="5"/>
    <cellStyle name="Currency 4" xfId="6"/>
    <cellStyle name="Hipervínculo_Oferta Vinculante Apoyo Infonavit 030610" xfId="7"/>
    <cellStyle name="Millares 2" xfId="8"/>
    <cellStyle name="Moneda 2" xfId="9"/>
    <cellStyle name="Moneda 2 2" xfId="10"/>
    <cellStyle name="Normal" xfId="0" builtinId="0"/>
    <cellStyle name="Normal 2" xfId="11"/>
    <cellStyle name="Normal 2 2" xfId="12"/>
    <cellStyle name="Normal 2 2 2" xfId="13"/>
    <cellStyle name="Normal 3" xfId="14"/>
    <cellStyle name="Normal 4" xfId="15"/>
    <cellStyle name="Normal 4 2" xfId="16"/>
    <cellStyle name="Normal 5" xfId="17"/>
    <cellStyle name="Percent" xfId="18" builtinId="5"/>
    <cellStyle name="Percent 2" xfId="19"/>
    <cellStyle name="Percent 3" xfId="20"/>
    <cellStyle name="Percent 4" xfId="21"/>
    <cellStyle name="Porcentual 2" xfId="22"/>
    <cellStyle name="Porcentual 2 2" xfId="23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/>
  <dimension ref="A1:Q42"/>
  <sheetViews>
    <sheetView tabSelected="1" workbookViewId="0"/>
  </sheetViews>
  <sheetFormatPr defaultRowHeight="15"/>
  <cols>
    <col min="1" max="1" width="20.85546875" bestFit="1" customWidth="1"/>
    <col min="3" max="3" width="1.7109375" customWidth="1"/>
    <col min="4" max="4" width="9.140625" style="7"/>
    <col min="5" max="9" width="10.7109375" customWidth="1"/>
    <col min="10" max="10" width="14.5703125" bestFit="1" customWidth="1"/>
    <col min="11" max="12" width="10.7109375" customWidth="1"/>
    <col min="13" max="13" width="11.28515625" customWidth="1"/>
    <col min="14" max="14" width="10.7109375" customWidth="1"/>
    <col min="15" max="15" width="1.42578125" customWidth="1"/>
  </cols>
  <sheetData>
    <row r="1" spans="1:17">
      <c r="A1" s="38" t="s">
        <v>37</v>
      </c>
    </row>
    <row r="2" spans="1:17">
      <c r="D2"/>
    </row>
    <row r="3" spans="1:17">
      <c r="A3" s="1" t="s">
        <v>26</v>
      </c>
      <c r="B3" s="39" t="s">
        <v>38</v>
      </c>
      <c r="D3" s="20" t="s">
        <v>0</v>
      </c>
      <c r="E3" s="20"/>
      <c r="F3" s="24"/>
      <c r="G3" s="24"/>
      <c r="H3" s="24"/>
      <c r="I3" s="24"/>
      <c r="J3" s="24"/>
      <c r="K3" s="24"/>
      <c r="L3" s="24"/>
      <c r="M3" s="24"/>
      <c r="N3" s="24"/>
      <c r="P3" s="21" t="s">
        <v>4</v>
      </c>
      <c r="Q3" s="21"/>
    </row>
    <row r="4" spans="1:17" ht="15.75" thickBot="1"/>
    <row r="5" spans="1:17">
      <c r="A5" s="6" t="s">
        <v>31</v>
      </c>
      <c r="B5" s="10">
        <v>5000</v>
      </c>
      <c r="D5" s="8" t="s">
        <v>22</v>
      </c>
      <c r="E5" s="8" t="s">
        <v>6</v>
      </c>
      <c r="F5" s="8" t="s">
        <v>7</v>
      </c>
      <c r="G5" s="8" t="s">
        <v>8</v>
      </c>
      <c r="H5" s="8" t="s">
        <v>9</v>
      </c>
      <c r="I5" s="8" t="s">
        <v>10</v>
      </c>
      <c r="J5" s="8" t="s">
        <v>11</v>
      </c>
      <c r="K5" s="8" t="s">
        <v>12</v>
      </c>
      <c r="L5" s="8" t="s">
        <v>13</v>
      </c>
      <c r="M5" s="8" t="s">
        <v>14</v>
      </c>
      <c r="N5" s="8" t="s">
        <v>15</v>
      </c>
      <c r="P5" s="3" t="s">
        <v>3</v>
      </c>
      <c r="Q5" s="4">
        <f>IRR(__FlujosCAT,0)</f>
        <v>6.1304244432199013E-2</v>
      </c>
    </row>
    <row r="6" spans="1:17" ht="15.75" thickBot="1">
      <c r="A6" s="6" t="s">
        <v>35</v>
      </c>
      <c r="B6" s="16">
        <f>45%</f>
        <v>0.45</v>
      </c>
      <c r="D6" s="35">
        <v>0</v>
      </c>
      <c r="E6" s="33"/>
      <c r="F6" s="33"/>
      <c r="G6" s="33"/>
      <c r="H6" s="33"/>
      <c r="I6" s="33"/>
      <c r="J6" s="33"/>
      <c r="K6" s="34">
        <f t="shared" ref="K6:K42" si="0">(i.Monto_Línea - __SaldoPostPago) * (__Periodo&lt;_Corte_Revolvencia)</f>
        <v>5000</v>
      </c>
      <c r="L6" s="34">
        <f>i.Comisiones_Iniciales</f>
        <v>0</v>
      </c>
      <c r="M6" s="33">
        <f t="shared" ref="M6:M42" si="1">__Pago - __Disposición + __Comisión</f>
        <v>-5000</v>
      </c>
      <c r="N6" s="33">
        <f t="shared" ref="N6:N42" si="2">__SaldoPostPago + __Disposición</f>
        <v>5000</v>
      </c>
      <c r="P6" s="22" t="s">
        <v>4</v>
      </c>
      <c r="Q6" s="23">
        <f>((1+_Irr_Flujos)^_Periodos_por_Año)-1</f>
        <v>1.0421085002801651</v>
      </c>
    </row>
    <row r="7" spans="1:17">
      <c r="A7" s="6" t="s">
        <v>33</v>
      </c>
      <c r="B7" s="15">
        <v>0.12</v>
      </c>
      <c r="D7" s="36">
        <v>1</v>
      </c>
      <c r="E7" s="11">
        <f t="shared" ref="E7:E42" si="3">(INDEX(__SaldoFinal,__Periodo)) * (__Periodo&lt;=_Corte_Revolvencia)</f>
        <v>5000</v>
      </c>
      <c r="F7" s="11">
        <f t="shared" ref="F7:F42" si="4">__Saldo * _Tasa_Nivelada / i.Dias_en_Año * _Dias_por_Periodo / (1 + i.Tasa_IVA_Interes)</f>
        <v>187.5</v>
      </c>
      <c r="G7" s="11">
        <f t="shared" ref="G7:G42" si="5">__Interés * i.Tasa_IVA_Interes</f>
        <v>22.5</v>
      </c>
      <c r="H7" s="11">
        <f t="shared" ref="H7:H42" si="6">IF(__Periodo &gt;= _Corte_Revolvencia, __Saldo, _Pago_Fijo - __Interés - __Iva )</f>
        <v>750.02886251311816</v>
      </c>
      <c r="I7" s="13">
        <f t="shared" ref="I7:I42" si="7">__Interés + __Capital</f>
        <v>937.52886251311816</v>
      </c>
      <c r="J7" s="11">
        <f t="shared" ref="J7:J42" si="8">__Saldo - __Capital</f>
        <v>4249.9711374868821</v>
      </c>
      <c r="K7" s="11">
        <f t="shared" si="0"/>
        <v>750.02886251311793</v>
      </c>
      <c r="L7" s="11">
        <f t="shared" ref="L7:L42" si="9">i.Comisión_Redisposición * (__Disposición&lt;&gt;0)</f>
        <v>120</v>
      </c>
      <c r="M7" s="11">
        <f t="shared" si="1"/>
        <v>307.50000000000023</v>
      </c>
      <c r="N7" s="11">
        <f t="shared" si="2"/>
        <v>5000</v>
      </c>
    </row>
    <row r="8" spans="1:17">
      <c r="A8" s="9" t="s">
        <v>32</v>
      </c>
      <c r="B8" s="14">
        <v>0</v>
      </c>
      <c r="D8" s="36">
        <v>2</v>
      </c>
      <c r="E8" s="11">
        <f t="shared" si="3"/>
        <v>5000</v>
      </c>
      <c r="F8" s="11">
        <f t="shared" si="4"/>
        <v>187.5</v>
      </c>
      <c r="G8" s="11">
        <f t="shared" si="5"/>
        <v>22.5</v>
      </c>
      <c r="H8" s="11">
        <f t="shared" si="6"/>
        <v>750.02886251311816</v>
      </c>
      <c r="I8" s="11">
        <f t="shared" si="7"/>
        <v>937.52886251311816</v>
      </c>
      <c r="J8" s="11">
        <f t="shared" si="8"/>
        <v>4249.9711374868821</v>
      </c>
      <c r="K8" s="11">
        <f t="shared" si="0"/>
        <v>750.02886251311793</v>
      </c>
      <c r="L8" s="11">
        <f t="shared" si="9"/>
        <v>120</v>
      </c>
      <c r="M8" s="11">
        <f t="shared" si="1"/>
        <v>307.50000000000023</v>
      </c>
      <c r="N8" s="11">
        <f t="shared" si="2"/>
        <v>5000</v>
      </c>
    </row>
    <row r="9" spans="1:17">
      <c r="A9" s="9" t="s">
        <v>34</v>
      </c>
      <c r="B9" s="10">
        <v>120</v>
      </c>
      <c r="D9" s="36">
        <v>3</v>
      </c>
      <c r="E9" s="11">
        <f t="shared" si="3"/>
        <v>5000</v>
      </c>
      <c r="F9" s="11">
        <f t="shared" si="4"/>
        <v>187.5</v>
      </c>
      <c r="G9" s="11">
        <f t="shared" si="5"/>
        <v>22.5</v>
      </c>
      <c r="H9" s="11">
        <f t="shared" si="6"/>
        <v>750.02886251311816</v>
      </c>
      <c r="I9" s="11">
        <f t="shared" si="7"/>
        <v>937.52886251311816</v>
      </c>
      <c r="J9" s="11">
        <f t="shared" si="8"/>
        <v>4249.9711374868821</v>
      </c>
      <c r="K9" s="11">
        <f t="shared" si="0"/>
        <v>750.02886251311793</v>
      </c>
      <c r="L9" s="11">
        <f t="shared" si="9"/>
        <v>120</v>
      </c>
      <c r="M9" s="11">
        <f t="shared" si="1"/>
        <v>307.50000000000023</v>
      </c>
      <c r="N9" s="11">
        <f t="shared" si="2"/>
        <v>5000</v>
      </c>
    </row>
    <row r="10" spans="1:17">
      <c r="A10" s="6" t="s">
        <v>23</v>
      </c>
      <c r="B10" s="10">
        <v>6</v>
      </c>
      <c r="D10" s="36">
        <v>4</v>
      </c>
      <c r="E10" s="11">
        <f t="shared" si="3"/>
        <v>5000</v>
      </c>
      <c r="F10" s="11">
        <f t="shared" si="4"/>
        <v>187.5</v>
      </c>
      <c r="G10" s="11">
        <f t="shared" si="5"/>
        <v>22.5</v>
      </c>
      <c r="H10" s="11">
        <f t="shared" si="6"/>
        <v>750.02886251311816</v>
      </c>
      <c r="I10" s="11">
        <f t="shared" si="7"/>
        <v>937.52886251311816</v>
      </c>
      <c r="J10" s="11">
        <f t="shared" si="8"/>
        <v>4249.9711374868821</v>
      </c>
      <c r="K10" s="11">
        <f t="shared" si="0"/>
        <v>750.02886251311793</v>
      </c>
      <c r="L10" s="11">
        <f t="shared" si="9"/>
        <v>120</v>
      </c>
      <c r="M10" s="11">
        <f t="shared" si="1"/>
        <v>307.50000000000023</v>
      </c>
      <c r="N10" s="11">
        <f t="shared" si="2"/>
        <v>5000</v>
      </c>
    </row>
    <row r="11" spans="1:17">
      <c r="C11" t="s">
        <v>5</v>
      </c>
      <c r="D11" s="36">
        <v>5</v>
      </c>
      <c r="E11" s="11">
        <f t="shared" si="3"/>
        <v>5000</v>
      </c>
      <c r="F11" s="11">
        <f t="shared" si="4"/>
        <v>187.5</v>
      </c>
      <c r="G11" s="11">
        <f t="shared" si="5"/>
        <v>22.5</v>
      </c>
      <c r="H11" s="11">
        <f t="shared" si="6"/>
        <v>750.02886251311816</v>
      </c>
      <c r="I11" s="11">
        <f t="shared" si="7"/>
        <v>937.52886251311816</v>
      </c>
      <c r="J11" s="11">
        <f t="shared" si="8"/>
        <v>4249.9711374868821</v>
      </c>
      <c r="K11" s="11">
        <f t="shared" si="0"/>
        <v>750.02886251311793</v>
      </c>
      <c r="L11" s="11">
        <f t="shared" si="9"/>
        <v>120</v>
      </c>
      <c r="M11" s="11">
        <f t="shared" si="1"/>
        <v>307.50000000000023</v>
      </c>
      <c r="N11" s="11">
        <f t="shared" si="2"/>
        <v>5000</v>
      </c>
    </row>
    <row r="12" spans="1:17">
      <c r="A12" s="9" t="s">
        <v>20</v>
      </c>
      <c r="B12" s="10">
        <v>12</v>
      </c>
      <c r="D12" s="36">
        <v>6</v>
      </c>
      <c r="E12" s="11">
        <f t="shared" si="3"/>
        <v>5000</v>
      </c>
      <c r="F12" s="11">
        <f t="shared" si="4"/>
        <v>187.5</v>
      </c>
      <c r="G12" s="11">
        <f t="shared" si="5"/>
        <v>22.5</v>
      </c>
      <c r="H12" s="11">
        <f t="shared" si="6"/>
        <v>750.02886251311816</v>
      </c>
      <c r="I12" s="11">
        <f t="shared" si="7"/>
        <v>937.52886251311816</v>
      </c>
      <c r="J12" s="11">
        <f t="shared" si="8"/>
        <v>4249.9711374868821</v>
      </c>
      <c r="K12" s="11">
        <f t="shared" si="0"/>
        <v>750.02886251311793</v>
      </c>
      <c r="L12" s="11">
        <f t="shared" si="9"/>
        <v>120</v>
      </c>
      <c r="M12" s="11">
        <f t="shared" si="1"/>
        <v>307.50000000000023</v>
      </c>
      <c r="N12" s="11">
        <f t="shared" si="2"/>
        <v>5000</v>
      </c>
    </row>
    <row r="13" spans="1:17">
      <c r="A13" s="6" t="s">
        <v>21</v>
      </c>
      <c r="B13" s="10">
        <v>360</v>
      </c>
      <c r="D13" s="36">
        <v>7</v>
      </c>
      <c r="E13" s="11">
        <f t="shared" si="3"/>
        <v>5000</v>
      </c>
      <c r="F13" s="11">
        <f t="shared" si="4"/>
        <v>187.5</v>
      </c>
      <c r="G13" s="11">
        <f t="shared" si="5"/>
        <v>22.5</v>
      </c>
      <c r="H13" s="11">
        <f t="shared" si="6"/>
        <v>750.02886251311816</v>
      </c>
      <c r="I13" s="11">
        <f t="shared" si="7"/>
        <v>937.52886251311816</v>
      </c>
      <c r="J13" s="11">
        <f t="shared" si="8"/>
        <v>4249.9711374868821</v>
      </c>
      <c r="K13" s="11">
        <f t="shared" si="0"/>
        <v>750.02886251311793</v>
      </c>
      <c r="L13" s="11">
        <f t="shared" si="9"/>
        <v>120</v>
      </c>
      <c r="M13" s="11">
        <f t="shared" si="1"/>
        <v>307.50000000000023</v>
      </c>
      <c r="N13" s="11">
        <f t="shared" si="2"/>
        <v>5000</v>
      </c>
    </row>
    <row r="14" spans="1:17">
      <c r="D14" s="36">
        <v>8</v>
      </c>
      <c r="E14" s="11">
        <f t="shared" si="3"/>
        <v>5000</v>
      </c>
      <c r="F14" s="11">
        <f t="shared" si="4"/>
        <v>187.5</v>
      </c>
      <c r="G14" s="11">
        <f t="shared" si="5"/>
        <v>22.5</v>
      </c>
      <c r="H14" s="11">
        <f t="shared" si="6"/>
        <v>750.02886251311816</v>
      </c>
      <c r="I14" s="11">
        <f t="shared" si="7"/>
        <v>937.52886251311816</v>
      </c>
      <c r="J14" s="11">
        <f t="shared" si="8"/>
        <v>4249.9711374868821</v>
      </c>
      <c r="K14" s="11">
        <f t="shared" si="0"/>
        <v>750.02886251311793</v>
      </c>
      <c r="L14" s="11">
        <f t="shared" si="9"/>
        <v>120</v>
      </c>
      <c r="M14" s="11">
        <f t="shared" si="1"/>
        <v>307.50000000000023</v>
      </c>
      <c r="N14" s="11">
        <f t="shared" si="2"/>
        <v>5000</v>
      </c>
    </row>
    <row r="15" spans="1:17">
      <c r="A15" s="27" t="s">
        <v>28</v>
      </c>
      <c r="B15" s="28"/>
      <c r="D15" s="36">
        <v>9</v>
      </c>
      <c r="E15" s="11">
        <f t="shared" si="3"/>
        <v>5000</v>
      </c>
      <c r="F15" s="11">
        <f t="shared" si="4"/>
        <v>187.5</v>
      </c>
      <c r="G15" s="11">
        <f t="shared" si="5"/>
        <v>22.5</v>
      </c>
      <c r="H15" s="11">
        <f t="shared" si="6"/>
        <v>750.02886251311816</v>
      </c>
      <c r="I15" s="11">
        <f t="shared" si="7"/>
        <v>937.52886251311816</v>
      </c>
      <c r="J15" s="11">
        <f t="shared" si="8"/>
        <v>4249.9711374868821</v>
      </c>
      <c r="K15" s="11">
        <f t="shared" si="0"/>
        <v>750.02886251311793</v>
      </c>
      <c r="L15" s="11">
        <f t="shared" si="9"/>
        <v>120</v>
      </c>
      <c r="M15" s="11">
        <f t="shared" si="1"/>
        <v>307.50000000000023</v>
      </c>
      <c r="N15" s="11">
        <f t="shared" si="2"/>
        <v>5000</v>
      </c>
    </row>
    <row r="16" spans="1:17">
      <c r="D16" s="36">
        <v>10</v>
      </c>
      <c r="E16" s="11">
        <f t="shared" si="3"/>
        <v>5000</v>
      </c>
      <c r="F16" s="11">
        <f t="shared" si="4"/>
        <v>187.5</v>
      </c>
      <c r="G16" s="11">
        <f t="shared" si="5"/>
        <v>22.5</v>
      </c>
      <c r="H16" s="11">
        <f t="shared" si="6"/>
        <v>750.02886251311816</v>
      </c>
      <c r="I16" s="11">
        <f t="shared" si="7"/>
        <v>937.52886251311816</v>
      </c>
      <c r="J16" s="11">
        <f t="shared" si="8"/>
        <v>4249.9711374868821</v>
      </c>
      <c r="K16" s="11">
        <f t="shared" si="0"/>
        <v>750.02886251311793</v>
      </c>
      <c r="L16" s="11">
        <f t="shared" si="9"/>
        <v>120</v>
      </c>
      <c r="M16" s="11">
        <f t="shared" si="1"/>
        <v>307.50000000000023</v>
      </c>
      <c r="N16" s="11">
        <f t="shared" si="2"/>
        <v>5000</v>
      </c>
    </row>
    <row r="17" spans="1:14">
      <c r="A17" s="31" t="s">
        <v>1</v>
      </c>
      <c r="B17" s="32" t="s">
        <v>2</v>
      </c>
      <c r="D17" s="36">
        <v>11</v>
      </c>
      <c r="E17" s="11">
        <f t="shared" si="3"/>
        <v>5000</v>
      </c>
      <c r="F17" s="11">
        <f t="shared" si="4"/>
        <v>187.5</v>
      </c>
      <c r="G17" s="11">
        <f t="shared" si="5"/>
        <v>22.5</v>
      </c>
      <c r="H17" s="11">
        <f t="shared" si="6"/>
        <v>750.02886251311816</v>
      </c>
      <c r="I17" s="11">
        <f t="shared" si="7"/>
        <v>937.52886251311816</v>
      </c>
      <c r="J17" s="11">
        <f t="shared" si="8"/>
        <v>4249.9711374868821</v>
      </c>
      <c r="K17" s="11">
        <f t="shared" si="0"/>
        <v>750.02886251311793</v>
      </c>
      <c r="L17" s="11">
        <f t="shared" si="9"/>
        <v>120</v>
      </c>
      <c r="M17" s="11">
        <f t="shared" si="1"/>
        <v>307.50000000000023</v>
      </c>
      <c r="N17" s="11">
        <f t="shared" si="2"/>
        <v>5000</v>
      </c>
    </row>
    <row r="18" spans="1:14">
      <c r="A18" s="2" t="s">
        <v>29</v>
      </c>
      <c r="B18" s="29">
        <v>12</v>
      </c>
      <c r="D18" s="36">
        <v>12</v>
      </c>
      <c r="E18" s="11">
        <f t="shared" si="3"/>
        <v>5000</v>
      </c>
      <c r="F18" s="11">
        <f t="shared" si="4"/>
        <v>187.5</v>
      </c>
      <c r="G18" s="11">
        <f t="shared" si="5"/>
        <v>22.5</v>
      </c>
      <c r="H18" s="11">
        <f t="shared" si="6"/>
        <v>750.02886251311816</v>
      </c>
      <c r="I18" s="11">
        <f t="shared" si="7"/>
        <v>937.52886251311816</v>
      </c>
      <c r="J18" s="11">
        <f t="shared" si="8"/>
        <v>4249.9711374868821</v>
      </c>
      <c r="K18" s="11">
        <f t="shared" si="0"/>
        <v>750.02886251311793</v>
      </c>
      <c r="L18" s="11">
        <f t="shared" si="9"/>
        <v>120</v>
      </c>
      <c r="M18" s="11">
        <f t="shared" si="1"/>
        <v>307.50000000000023</v>
      </c>
      <c r="N18" s="11">
        <f t="shared" si="2"/>
        <v>5000</v>
      </c>
    </row>
    <row r="19" spans="1:14">
      <c r="A19" s="5" t="s">
        <v>30</v>
      </c>
      <c r="B19" s="30">
        <v>30</v>
      </c>
      <c r="D19" s="36">
        <v>13</v>
      </c>
      <c r="E19" s="11">
        <f t="shared" si="3"/>
        <v>5000</v>
      </c>
      <c r="F19" s="11">
        <f t="shared" si="4"/>
        <v>187.5</v>
      </c>
      <c r="G19" s="11">
        <f t="shared" si="5"/>
        <v>22.5</v>
      </c>
      <c r="H19" s="11">
        <f t="shared" si="6"/>
        <v>750.02886251311816</v>
      </c>
      <c r="I19" s="11">
        <f t="shared" si="7"/>
        <v>937.52886251311816</v>
      </c>
      <c r="J19" s="11">
        <f t="shared" si="8"/>
        <v>4249.9711374868821</v>
      </c>
      <c r="K19" s="11">
        <f t="shared" si="0"/>
        <v>750.02886251311793</v>
      </c>
      <c r="L19" s="11">
        <f t="shared" si="9"/>
        <v>120</v>
      </c>
      <c r="M19" s="11">
        <f t="shared" si="1"/>
        <v>307.50000000000023</v>
      </c>
      <c r="N19" s="11">
        <f t="shared" si="2"/>
        <v>5000</v>
      </c>
    </row>
    <row r="20" spans="1:14">
      <c r="D20" s="36">
        <v>14</v>
      </c>
      <c r="E20" s="11">
        <f t="shared" si="3"/>
        <v>5000</v>
      </c>
      <c r="F20" s="11">
        <f t="shared" si="4"/>
        <v>187.5</v>
      </c>
      <c r="G20" s="11">
        <f t="shared" si="5"/>
        <v>22.5</v>
      </c>
      <c r="H20" s="11">
        <f t="shared" si="6"/>
        <v>750.02886251311816</v>
      </c>
      <c r="I20" s="11">
        <f t="shared" si="7"/>
        <v>937.52886251311816</v>
      </c>
      <c r="J20" s="11">
        <f t="shared" si="8"/>
        <v>4249.9711374868821</v>
      </c>
      <c r="K20" s="11">
        <f t="shared" si="0"/>
        <v>750.02886251311793</v>
      </c>
      <c r="L20" s="11">
        <f t="shared" si="9"/>
        <v>120</v>
      </c>
      <c r="M20" s="11">
        <f t="shared" si="1"/>
        <v>307.50000000000023</v>
      </c>
      <c r="N20" s="11">
        <f t="shared" si="2"/>
        <v>5000</v>
      </c>
    </row>
    <row r="21" spans="1:14">
      <c r="A21" s="9" t="s">
        <v>16</v>
      </c>
      <c r="B21" s="19">
        <v>3</v>
      </c>
      <c r="D21" s="36">
        <v>15</v>
      </c>
      <c r="E21" s="11">
        <f t="shared" si="3"/>
        <v>5000</v>
      </c>
      <c r="F21" s="11">
        <f t="shared" si="4"/>
        <v>187.5</v>
      </c>
      <c r="G21" s="11">
        <f t="shared" si="5"/>
        <v>22.5</v>
      </c>
      <c r="H21" s="11">
        <f t="shared" si="6"/>
        <v>750.02886251311816</v>
      </c>
      <c r="I21" s="11">
        <f t="shared" si="7"/>
        <v>937.52886251311816</v>
      </c>
      <c r="J21" s="11">
        <f t="shared" si="8"/>
        <v>4249.9711374868821</v>
      </c>
      <c r="K21" s="11">
        <f t="shared" si="0"/>
        <v>750.02886251311793</v>
      </c>
      <c r="L21" s="11">
        <f t="shared" si="9"/>
        <v>120</v>
      </c>
      <c r="M21" s="11">
        <f t="shared" si="1"/>
        <v>307.50000000000023</v>
      </c>
      <c r="N21" s="11">
        <f t="shared" si="2"/>
        <v>5000</v>
      </c>
    </row>
    <row r="22" spans="1:14">
      <c r="D22" s="36">
        <v>16</v>
      </c>
      <c r="E22" s="11">
        <f t="shared" si="3"/>
        <v>5000</v>
      </c>
      <c r="F22" s="11">
        <f t="shared" si="4"/>
        <v>187.5</v>
      </c>
      <c r="G22" s="11">
        <f t="shared" si="5"/>
        <v>22.5</v>
      </c>
      <c r="H22" s="11">
        <f t="shared" si="6"/>
        <v>750.02886251311816</v>
      </c>
      <c r="I22" s="11">
        <f t="shared" si="7"/>
        <v>937.52886251311816</v>
      </c>
      <c r="J22" s="11">
        <f t="shared" si="8"/>
        <v>4249.9711374868821</v>
      </c>
      <c r="K22" s="11">
        <f t="shared" si="0"/>
        <v>750.02886251311793</v>
      </c>
      <c r="L22" s="11">
        <f t="shared" si="9"/>
        <v>120</v>
      </c>
      <c r="M22" s="11">
        <f t="shared" si="1"/>
        <v>307.50000000000023</v>
      </c>
      <c r="N22" s="11">
        <f t="shared" si="2"/>
        <v>5000</v>
      </c>
    </row>
    <row r="23" spans="1:14">
      <c r="A23" s="25" t="s">
        <v>27</v>
      </c>
      <c r="B23" s="26"/>
      <c r="D23" s="36">
        <v>17</v>
      </c>
      <c r="E23" s="11">
        <f t="shared" si="3"/>
        <v>5000</v>
      </c>
      <c r="F23" s="11">
        <f t="shared" si="4"/>
        <v>187.5</v>
      </c>
      <c r="G23" s="11">
        <f t="shared" si="5"/>
        <v>22.5</v>
      </c>
      <c r="H23" s="11">
        <f t="shared" si="6"/>
        <v>750.02886251311816</v>
      </c>
      <c r="I23" s="11">
        <f t="shared" si="7"/>
        <v>937.52886251311816</v>
      </c>
      <c r="J23" s="11">
        <f t="shared" si="8"/>
        <v>4249.9711374868821</v>
      </c>
      <c r="K23" s="11">
        <f t="shared" si="0"/>
        <v>750.02886251311793</v>
      </c>
      <c r="L23" s="11">
        <f t="shared" si="9"/>
        <v>120</v>
      </c>
      <c r="M23" s="11">
        <f t="shared" si="1"/>
        <v>307.50000000000023</v>
      </c>
      <c r="N23" s="11">
        <f t="shared" si="2"/>
        <v>5000</v>
      </c>
    </row>
    <row r="24" spans="1:14">
      <c r="D24" s="36">
        <v>18</v>
      </c>
      <c r="E24" s="11">
        <f t="shared" si="3"/>
        <v>5000</v>
      </c>
      <c r="F24" s="11">
        <f t="shared" si="4"/>
        <v>187.5</v>
      </c>
      <c r="G24" s="11">
        <f t="shared" si="5"/>
        <v>22.5</v>
      </c>
      <c r="H24" s="11">
        <f t="shared" si="6"/>
        <v>750.02886251311816</v>
      </c>
      <c r="I24" s="11">
        <f t="shared" si="7"/>
        <v>937.52886251311816</v>
      </c>
      <c r="J24" s="11">
        <f t="shared" si="8"/>
        <v>4249.9711374868821</v>
      </c>
      <c r="K24" s="11">
        <f t="shared" si="0"/>
        <v>750.02886251311793</v>
      </c>
      <c r="L24" s="11">
        <f t="shared" si="9"/>
        <v>120</v>
      </c>
      <c r="M24" s="11">
        <f t="shared" si="1"/>
        <v>307.50000000000023</v>
      </c>
      <c r="N24" s="11">
        <f t="shared" si="2"/>
        <v>5000</v>
      </c>
    </row>
    <row r="25" spans="1:14">
      <c r="A25" s="9" t="s">
        <v>25</v>
      </c>
      <c r="B25" s="12">
        <f>_Periodos_por_Año * _Años_Revolvencia</f>
        <v>36</v>
      </c>
      <c r="D25" s="36">
        <v>19</v>
      </c>
      <c r="E25" s="11">
        <f t="shared" si="3"/>
        <v>5000</v>
      </c>
      <c r="F25" s="11">
        <f t="shared" si="4"/>
        <v>187.5</v>
      </c>
      <c r="G25" s="11">
        <f t="shared" si="5"/>
        <v>22.5</v>
      </c>
      <c r="H25" s="11">
        <f t="shared" si="6"/>
        <v>750.02886251311816</v>
      </c>
      <c r="I25" s="11">
        <f t="shared" si="7"/>
        <v>937.52886251311816</v>
      </c>
      <c r="J25" s="11">
        <f t="shared" si="8"/>
        <v>4249.9711374868821</v>
      </c>
      <c r="K25" s="11">
        <f t="shared" si="0"/>
        <v>750.02886251311793</v>
      </c>
      <c r="L25" s="11">
        <f t="shared" si="9"/>
        <v>120</v>
      </c>
      <c r="M25" s="11">
        <f t="shared" si="1"/>
        <v>307.50000000000023</v>
      </c>
      <c r="N25" s="11">
        <f t="shared" si="2"/>
        <v>5000</v>
      </c>
    </row>
    <row r="26" spans="1:14">
      <c r="D26" s="36">
        <v>20</v>
      </c>
      <c r="E26" s="11">
        <f t="shared" si="3"/>
        <v>5000</v>
      </c>
      <c r="F26" s="11">
        <f t="shared" si="4"/>
        <v>187.5</v>
      </c>
      <c r="G26" s="11">
        <f t="shared" si="5"/>
        <v>22.5</v>
      </c>
      <c r="H26" s="11">
        <f t="shared" si="6"/>
        <v>750.02886251311816</v>
      </c>
      <c r="I26" s="11">
        <f t="shared" si="7"/>
        <v>937.52886251311816</v>
      </c>
      <c r="J26" s="11">
        <f t="shared" si="8"/>
        <v>4249.9711374868821</v>
      </c>
      <c r="K26" s="11">
        <f t="shared" si="0"/>
        <v>750.02886251311793</v>
      </c>
      <c r="L26" s="11">
        <f t="shared" si="9"/>
        <v>120</v>
      </c>
      <c r="M26" s="11">
        <f t="shared" si="1"/>
        <v>307.50000000000023</v>
      </c>
      <c r="N26" s="11">
        <f t="shared" si="2"/>
        <v>5000</v>
      </c>
    </row>
    <row r="27" spans="1:14">
      <c r="A27" s="9" t="s">
        <v>36</v>
      </c>
      <c r="B27" s="37">
        <f>i.Tasa_Anual * ( 1 + i.Tasa_IVA_Interes )</f>
        <v>0.50400000000000011</v>
      </c>
      <c r="D27" s="36">
        <v>21</v>
      </c>
      <c r="E27" s="11">
        <f t="shared" si="3"/>
        <v>5000</v>
      </c>
      <c r="F27" s="11">
        <f t="shared" si="4"/>
        <v>187.5</v>
      </c>
      <c r="G27" s="11">
        <f t="shared" si="5"/>
        <v>22.5</v>
      </c>
      <c r="H27" s="11">
        <f t="shared" si="6"/>
        <v>750.02886251311816</v>
      </c>
      <c r="I27" s="11">
        <f t="shared" si="7"/>
        <v>937.52886251311816</v>
      </c>
      <c r="J27" s="11">
        <f t="shared" si="8"/>
        <v>4249.9711374868821</v>
      </c>
      <c r="K27" s="11">
        <f t="shared" si="0"/>
        <v>750.02886251311793</v>
      </c>
      <c r="L27" s="11">
        <f t="shared" si="9"/>
        <v>120</v>
      </c>
      <c r="M27" s="11">
        <f t="shared" si="1"/>
        <v>307.50000000000023</v>
      </c>
      <c r="N27" s="11">
        <f t="shared" si="2"/>
        <v>5000</v>
      </c>
    </row>
    <row r="28" spans="1:14">
      <c r="A28" s="17" t="s">
        <v>24</v>
      </c>
      <c r="B28" s="18">
        <f>_Periodos_por_Año / i.Meses_En_Año * i.Plazo_En_Meses</f>
        <v>6</v>
      </c>
      <c r="D28" s="36">
        <v>22</v>
      </c>
      <c r="E28" s="11">
        <f t="shared" si="3"/>
        <v>5000</v>
      </c>
      <c r="F28" s="11">
        <f t="shared" si="4"/>
        <v>187.5</v>
      </c>
      <c r="G28" s="11">
        <f t="shared" si="5"/>
        <v>22.5</v>
      </c>
      <c r="H28" s="11">
        <f t="shared" si="6"/>
        <v>750.02886251311816</v>
      </c>
      <c r="I28" s="11">
        <f t="shared" si="7"/>
        <v>937.52886251311816</v>
      </c>
      <c r="J28" s="11">
        <f t="shared" si="8"/>
        <v>4249.9711374868821</v>
      </c>
      <c r="K28" s="11">
        <f t="shared" si="0"/>
        <v>750.02886251311793</v>
      </c>
      <c r="L28" s="11">
        <f t="shared" si="9"/>
        <v>120</v>
      </c>
      <c r="M28" s="11">
        <f t="shared" si="1"/>
        <v>307.50000000000023</v>
      </c>
      <c r="N28" s="11">
        <f t="shared" si="2"/>
        <v>5000</v>
      </c>
    </row>
    <row r="29" spans="1:14">
      <c r="A29" s="9" t="s">
        <v>17</v>
      </c>
      <c r="B29" s="11">
        <f>PPMT(_Tasa_Nivelada/_Periodos_por_Año,1,_Num_Periodos,-i.Monto_Línea)</f>
        <v>750.02886251311816</v>
      </c>
      <c r="D29" s="36">
        <v>23</v>
      </c>
      <c r="E29" s="11">
        <f t="shared" si="3"/>
        <v>5000</v>
      </c>
      <c r="F29" s="11">
        <f t="shared" si="4"/>
        <v>187.5</v>
      </c>
      <c r="G29" s="11">
        <f t="shared" si="5"/>
        <v>22.5</v>
      </c>
      <c r="H29" s="11">
        <f t="shared" si="6"/>
        <v>750.02886251311816</v>
      </c>
      <c r="I29" s="11">
        <f t="shared" si="7"/>
        <v>937.52886251311816</v>
      </c>
      <c r="J29" s="11">
        <f t="shared" si="8"/>
        <v>4249.9711374868821</v>
      </c>
      <c r="K29" s="11">
        <f t="shared" si="0"/>
        <v>750.02886251311793</v>
      </c>
      <c r="L29" s="11">
        <f t="shared" si="9"/>
        <v>120</v>
      </c>
      <c r="M29" s="11">
        <f t="shared" si="1"/>
        <v>307.50000000000023</v>
      </c>
      <c r="N29" s="11">
        <f t="shared" si="2"/>
        <v>5000</v>
      </c>
    </row>
    <row r="30" spans="1:14">
      <c r="A30" s="9" t="s">
        <v>18</v>
      </c>
      <c r="B30" s="11">
        <f>i.Monto_Línea * _Tasa_Nivelada / i.Dias_en_Año * _Dias_por_Periodo</f>
        <v>210.00000000000003</v>
      </c>
      <c r="D30" s="36">
        <v>24</v>
      </c>
      <c r="E30" s="11">
        <f t="shared" si="3"/>
        <v>5000</v>
      </c>
      <c r="F30" s="11">
        <f t="shared" si="4"/>
        <v>187.5</v>
      </c>
      <c r="G30" s="11">
        <f t="shared" si="5"/>
        <v>22.5</v>
      </c>
      <c r="H30" s="11">
        <f t="shared" si="6"/>
        <v>750.02886251311816</v>
      </c>
      <c r="I30" s="11">
        <f t="shared" si="7"/>
        <v>937.52886251311816</v>
      </c>
      <c r="J30" s="11">
        <f t="shared" si="8"/>
        <v>4249.9711374868821</v>
      </c>
      <c r="K30" s="11">
        <f t="shared" si="0"/>
        <v>750.02886251311793</v>
      </c>
      <c r="L30" s="11">
        <f t="shared" si="9"/>
        <v>120</v>
      </c>
      <c r="M30" s="11">
        <f t="shared" si="1"/>
        <v>307.50000000000023</v>
      </c>
      <c r="N30" s="11">
        <f t="shared" si="2"/>
        <v>5000</v>
      </c>
    </row>
    <row r="31" spans="1:14">
      <c r="A31" s="9" t="s">
        <v>19</v>
      </c>
      <c r="B31" s="11">
        <f>_Capital_Pago + _Interés_Pago</f>
        <v>960.02886251311816</v>
      </c>
      <c r="D31" s="36">
        <v>25</v>
      </c>
      <c r="E31" s="11">
        <f t="shared" si="3"/>
        <v>5000</v>
      </c>
      <c r="F31" s="11">
        <f t="shared" si="4"/>
        <v>187.5</v>
      </c>
      <c r="G31" s="11">
        <f t="shared" si="5"/>
        <v>22.5</v>
      </c>
      <c r="H31" s="11">
        <f t="shared" si="6"/>
        <v>750.02886251311816</v>
      </c>
      <c r="I31" s="11">
        <f t="shared" si="7"/>
        <v>937.52886251311816</v>
      </c>
      <c r="J31" s="11">
        <f t="shared" si="8"/>
        <v>4249.9711374868821</v>
      </c>
      <c r="K31" s="11">
        <f t="shared" si="0"/>
        <v>750.02886251311793</v>
      </c>
      <c r="L31" s="11">
        <f t="shared" si="9"/>
        <v>120</v>
      </c>
      <c r="M31" s="11">
        <f t="shared" si="1"/>
        <v>307.50000000000023</v>
      </c>
      <c r="N31" s="11">
        <f t="shared" si="2"/>
        <v>5000</v>
      </c>
    </row>
    <row r="32" spans="1:14">
      <c r="D32" s="36">
        <v>26</v>
      </c>
      <c r="E32" s="11">
        <f t="shared" si="3"/>
        <v>5000</v>
      </c>
      <c r="F32" s="11">
        <f t="shared" si="4"/>
        <v>187.5</v>
      </c>
      <c r="G32" s="11">
        <f t="shared" si="5"/>
        <v>22.5</v>
      </c>
      <c r="H32" s="11">
        <f t="shared" si="6"/>
        <v>750.02886251311816</v>
      </c>
      <c r="I32" s="11">
        <f t="shared" si="7"/>
        <v>937.52886251311816</v>
      </c>
      <c r="J32" s="11">
        <f t="shared" si="8"/>
        <v>4249.9711374868821</v>
      </c>
      <c r="K32" s="11">
        <f t="shared" si="0"/>
        <v>750.02886251311793</v>
      </c>
      <c r="L32" s="11">
        <f t="shared" si="9"/>
        <v>120</v>
      </c>
      <c r="M32" s="11">
        <f t="shared" si="1"/>
        <v>307.50000000000023</v>
      </c>
      <c r="N32" s="11">
        <f t="shared" si="2"/>
        <v>5000</v>
      </c>
    </row>
    <row r="33" spans="4:14">
      <c r="D33" s="36">
        <v>27</v>
      </c>
      <c r="E33" s="11">
        <f t="shared" si="3"/>
        <v>5000</v>
      </c>
      <c r="F33" s="11">
        <f t="shared" si="4"/>
        <v>187.5</v>
      </c>
      <c r="G33" s="11">
        <f t="shared" si="5"/>
        <v>22.5</v>
      </c>
      <c r="H33" s="11">
        <f t="shared" si="6"/>
        <v>750.02886251311816</v>
      </c>
      <c r="I33" s="11">
        <f t="shared" si="7"/>
        <v>937.52886251311816</v>
      </c>
      <c r="J33" s="11">
        <f t="shared" si="8"/>
        <v>4249.9711374868821</v>
      </c>
      <c r="K33" s="11">
        <f t="shared" si="0"/>
        <v>750.02886251311793</v>
      </c>
      <c r="L33" s="11">
        <f t="shared" si="9"/>
        <v>120</v>
      </c>
      <c r="M33" s="11">
        <f t="shared" si="1"/>
        <v>307.50000000000023</v>
      </c>
      <c r="N33" s="11">
        <f t="shared" si="2"/>
        <v>5000</v>
      </c>
    </row>
    <row r="34" spans="4:14">
      <c r="D34" s="36">
        <v>28</v>
      </c>
      <c r="E34" s="11">
        <f t="shared" si="3"/>
        <v>5000</v>
      </c>
      <c r="F34" s="11">
        <f t="shared" si="4"/>
        <v>187.5</v>
      </c>
      <c r="G34" s="11">
        <f t="shared" si="5"/>
        <v>22.5</v>
      </c>
      <c r="H34" s="11">
        <f t="shared" si="6"/>
        <v>750.02886251311816</v>
      </c>
      <c r="I34" s="11">
        <f t="shared" si="7"/>
        <v>937.52886251311816</v>
      </c>
      <c r="J34" s="11">
        <f t="shared" si="8"/>
        <v>4249.9711374868821</v>
      </c>
      <c r="K34" s="11">
        <f t="shared" si="0"/>
        <v>750.02886251311793</v>
      </c>
      <c r="L34" s="11">
        <f t="shared" si="9"/>
        <v>120</v>
      </c>
      <c r="M34" s="11">
        <f t="shared" si="1"/>
        <v>307.50000000000023</v>
      </c>
      <c r="N34" s="11">
        <f t="shared" si="2"/>
        <v>5000</v>
      </c>
    </row>
    <row r="35" spans="4:14">
      <c r="D35" s="36">
        <v>29</v>
      </c>
      <c r="E35" s="11">
        <f t="shared" si="3"/>
        <v>5000</v>
      </c>
      <c r="F35" s="11">
        <f t="shared" si="4"/>
        <v>187.5</v>
      </c>
      <c r="G35" s="11">
        <f t="shared" si="5"/>
        <v>22.5</v>
      </c>
      <c r="H35" s="11">
        <f t="shared" si="6"/>
        <v>750.02886251311816</v>
      </c>
      <c r="I35" s="11">
        <f t="shared" si="7"/>
        <v>937.52886251311816</v>
      </c>
      <c r="J35" s="11">
        <f t="shared" si="8"/>
        <v>4249.9711374868821</v>
      </c>
      <c r="K35" s="11">
        <f t="shared" si="0"/>
        <v>750.02886251311793</v>
      </c>
      <c r="L35" s="11">
        <f t="shared" si="9"/>
        <v>120</v>
      </c>
      <c r="M35" s="11">
        <f t="shared" si="1"/>
        <v>307.50000000000023</v>
      </c>
      <c r="N35" s="11">
        <f t="shared" si="2"/>
        <v>5000</v>
      </c>
    </row>
    <row r="36" spans="4:14">
      <c r="D36" s="36">
        <v>30</v>
      </c>
      <c r="E36" s="11">
        <f t="shared" si="3"/>
        <v>5000</v>
      </c>
      <c r="F36" s="11">
        <f t="shared" si="4"/>
        <v>187.5</v>
      </c>
      <c r="G36" s="11">
        <f t="shared" si="5"/>
        <v>22.5</v>
      </c>
      <c r="H36" s="11">
        <f t="shared" si="6"/>
        <v>750.02886251311816</v>
      </c>
      <c r="I36" s="11">
        <f t="shared" si="7"/>
        <v>937.52886251311816</v>
      </c>
      <c r="J36" s="11">
        <f t="shared" si="8"/>
        <v>4249.9711374868821</v>
      </c>
      <c r="K36" s="11">
        <f t="shared" si="0"/>
        <v>750.02886251311793</v>
      </c>
      <c r="L36" s="11">
        <f t="shared" si="9"/>
        <v>120</v>
      </c>
      <c r="M36" s="11">
        <f t="shared" si="1"/>
        <v>307.50000000000023</v>
      </c>
      <c r="N36" s="11">
        <f t="shared" si="2"/>
        <v>5000</v>
      </c>
    </row>
    <row r="37" spans="4:14">
      <c r="D37" s="36">
        <v>31</v>
      </c>
      <c r="E37" s="11">
        <f t="shared" si="3"/>
        <v>5000</v>
      </c>
      <c r="F37" s="11">
        <f t="shared" si="4"/>
        <v>187.5</v>
      </c>
      <c r="G37" s="11">
        <f t="shared" si="5"/>
        <v>22.5</v>
      </c>
      <c r="H37" s="11">
        <f t="shared" si="6"/>
        <v>750.02886251311816</v>
      </c>
      <c r="I37" s="11">
        <f t="shared" si="7"/>
        <v>937.52886251311816</v>
      </c>
      <c r="J37" s="11">
        <f t="shared" si="8"/>
        <v>4249.9711374868821</v>
      </c>
      <c r="K37" s="11">
        <f t="shared" si="0"/>
        <v>750.02886251311793</v>
      </c>
      <c r="L37" s="11">
        <f t="shared" si="9"/>
        <v>120</v>
      </c>
      <c r="M37" s="11">
        <f t="shared" si="1"/>
        <v>307.50000000000023</v>
      </c>
      <c r="N37" s="11">
        <f t="shared" si="2"/>
        <v>5000</v>
      </c>
    </row>
    <row r="38" spans="4:14">
      <c r="D38" s="36">
        <v>32</v>
      </c>
      <c r="E38" s="11">
        <f t="shared" si="3"/>
        <v>5000</v>
      </c>
      <c r="F38" s="11">
        <f t="shared" si="4"/>
        <v>187.5</v>
      </c>
      <c r="G38" s="11">
        <f t="shared" si="5"/>
        <v>22.5</v>
      </c>
      <c r="H38" s="11">
        <f t="shared" si="6"/>
        <v>750.02886251311816</v>
      </c>
      <c r="I38" s="11">
        <f t="shared" si="7"/>
        <v>937.52886251311816</v>
      </c>
      <c r="J38" s="11">
        <f t="shared" si="8"/>
        <v>4249.9711374868821</v>
      </c>
      <c r="K38" s="11">
        <f t="shared" si="0"/>
        <v>750.02886251311793</v>
      </c>
      <c r="L38" s="11">
        <f t="shared" si="9"/>
        <v>120</v>
      </c>
      <c r="M38" s="11">
        <f t="shared" si="1"/>
        <v>307.50000000000023</v>
      </c>
      <c r="N38" s="11">
        <f t="shared" si="2"/>
        <v>5000</v>
      </c>
    </row>
    <row r="39" spans="4:14">
      <c r="D39" s="36">
        <v>33</v>
      </c>
      <c r="E39" s="11">
        <f t="shared" si="3"/>
        <v>5000</v>
      </c>
      <c r="F39" s="11">
        <f t="shared" si="4"/>
        <v>187.5</v>
      </c>
      <c r="G39" s="11">
        <f t="shared" si="5"/>
        <v>22.5</v>
      </c>
      <c r="H39" s="11">
        <f t="shared" si="6"/>
        <v>750.02886251311816</v>
      </c>
      <c r="I39" s="11">
        <f t="shared" si="7"/>
        <v>937.52886251311816</v>
      </c>
      <c r="J39" s="11">
        <f t="shared" si="8"/>
        <v>4249.9711374868821</v>
      </c>
      <c r="K39" s="11">
        <f t="shared" si="0"/>
        <v>750.02886251311793</v>
      </c>
      <c r="L39" s="11">
        <f t="shared" si="9"/>
        <v>120</v>
      </c>
      <c r="M39" s="11">
        <f t="shared" si="1"/>
        <v>307.50000000000023</v>
      </c>
      <c r="N39" s="11">
        <f t="shared" si="2"/>
        <v>5000</v>
      </c>
    </row>
    <row r="40" spans="4:14">
      <c r="D40" s="36">
        <v>34</v>
      </c>
      <c r="E40" s="11">
        <f t="shared" si="3"/>
        <v>5000</v>
      </c>
      <c r="F40" s="11">
        <f t="shared" si="4"/>
        <v>187.5</v>
      </c>
      <c r="G40" s="11">
        <f t="shared" si="5"/>
        <v>22.5</v>
      </c>
      <c r="H40" s="11">
        <f t="shared" si="6"/>
        <v>750.02886251311816</v>
      </c>
      <c r="I40" s="11">
        <f t="shared" si="7"/>
        <v>937.52886251311816</v>
      </c>
      <c r="J40" s="11">
        <f t="shared" si="8"/>
        <v>4249.9711374868821</v>
      </c>
      <c r="K40" s="11">
        <f t="shared" si="0"/>
        <v>750.02886251311793</v>
      </c>
      <c r="L40" s="11">
        <f t="shared" si="9"/>
        <v>120</v>
      </c>
      <c r="M40" s="11">
        <f t="shared" si="1"/>
        <v>307.50000000000023</v>
      </c>
      <c r="N40" s="11">
        <f t="shared" si="2"/>
        <v>5000</v>
      </c>
    </row>
    <row r="41" spans="4:14">
      <c r="D41" s="36">
        <v>35</v>
      </c>
      <c r="E41" s="11">
        <f t="shared" si="3"/>
        <v>5000</v>
      </c>
      <c r="F41" s="11">
        <f t="shared" si="4"/>
        <v>187.5</v>
      </c>
      <c r="G41" s="11">
        <f t="shared" si="5"/>
        <v>22.5</v>
      </c>
      <c r="H41" s="11">
        <f t="shared" si="6"/>
        <v>750.02886251311816</v>
      </c>
      <c r="I41" s="11">
        <f t="shared" si="7"/>
        <v>937.52886251311816</v>
      </c>
      <c r="J41" s="11">
        <f t="shared" si="8"/>
        <v>4249.9711374868821</v>
      </c>
      <c r="K41" s="11">
        <f t="shared" si="0"/>
        <v>750.02886251311793</v>
      </c>
      <c r="L41" s="11">
        <f t="shared" si="9"/>
        <v>120</v>
      </c>
      <c r="M41" s="11">
        <f t="shared" si="1"/>
        <v>307.50000000000023</v>
      </c>
      <c r="N41" s="11">
        <f t="shared" si="2"/>
        <v>5000</v>
      </c>
    </row>
    <row r="42" spans="4:14">
      <c r="D42" s="36">
        <v>36</v>
      </c>
      <c r="E42" s="11">
        <f t="shared" si="3"/>
        <v>5000</v>
      </c>
      <c r="F42" s="11">
        <f t="shared" si="4"/>
        <v>187.5</v>
      </c>
      <c r="G42" s="11">
        <f t="shared" si="5"/>
        <v>22.5</v>
      </c>
      <c r="H42" s="11">
        <f t="shared" si="6"/>
        <v>5000</v>
      </c>
      <c r="I42" s="11">
        <f t="shared" si="7"/>
        <v>5187.5</v>
      </c>
      <c r="J42" s="11">
        <f t="shared" si="8"/>
        <v>0</v>
      </c>
      <c r="K42" s="11">
        <f t="shared" si="0"/>
        <v>0</v>
      </c>
      <c r="L42" s="11">
        <f t="shared" si="9"/>
        <v>0</v>
      </c>
      <c r="M42" s="11">
        <f t="shared" si="1"/>
        <v>5187.5</v>
      </c>
      <c r="N42" s="11">
        <f t="shared" si="2"/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32</vt:i4>
      </vt:variant>
    </vt:vector>
  </HeadingPairs>
  <TitlesOfParts>
    <vt:vector size="33" baseType="lpstr">
      <vt:lpstr>CAT_RT</vt:lpstr>
      <vt:lpstr>CAT_RT!__Capital</vt:lpstr>
      <vt:lpstr>CAT_RT!__Comisión</vt:lpstr>
      <vt:lpstr>CAT_RT!__Disposición</vt:lpstr>
      <vt:lpstr>CAT_RT!__FlujosCAT</vt:lpstr>
      <vt:lpstr>CAT_RT!__Interés</vt:lpstr>
      <vt:lpstr>CAT_RT!__Iva</vt:lpstr>
      <vt:lpstr>CAT_RT!__Pago</vt:lpstr>
      <vt:lpstr>CAT_RT!__Periodo</vt:lpstr>
      <vt:lpstr>CAT_RT!__Saldo</vt:lpstr>
      <vt:lpstr>CAT_RT!__SaldoFinal</vt:lpstr>
      <vt:lpstr>CAT_RT!__SaldoPostPago</vt:lpstr>
      <vt:lpstr>CAT_RT!_Años_Revolvencia</vt:lpstr>
      <vt:lpstr>CAT_RT!_Capital_Pago</vt:lpstr>
      <vt:lpstr>CAT_RT!_Corte_Revolvencia</vt:lpstr>
      <vt:lpstr>CAT_RT!_Dias_por_Periodo</vt:lpstr>
      <vt:lpstr>CAT_RT!_Interés_Pago</vt:lpstr>
      <vt:lpstr>CAT_RT!_Irr_Flujos</vt:lpstr>
      <vt:lpstr>CAT_RT!_Nombre_Componente</vt:lpstr>
      <vt:lpstr>CAT_RT!_Num_Periodos</vt:lpstr>
      <vt:lpstr>CAT_RT!_Pago_Fijo</vt:lpstr>
      <vt:lpstr>CAT_RT!_Periodos_por_Año</vt:lpstr>
      <vt:lpstr>CAT_RT!_Tasa_Nivelada</vt:lpstr>
      <vt:lpstr>CAT_RT!_Versión_Componente</vt:lpstr>
      <vt:lpstr>CAT_RT!i.Comisión_Redisposición</vt:lpstr>
      <vt:lpstr>CAT_RT!i.Comisiones_Iniciales</vt:lpstr>
      <vt:lpstr>CAT_RT!i.Dias_en_Año</vt:lpstr>
      <vt:lpstr>CAT_RT!i.Meses_En_Año</vt:lpstr>
      <vt:lpstr>CAT_RT!i.Monto_Línea</vt:lpstr>
      <vt:lpstr>CAT_RT!i.Plazo_En_Meses</vt:lpstr>
      <vt:lpstr>CAT_RT!i.Tasa_Anual</vt:lpstr>
      <vt:lpstr>CAT_RT!i.Tasa_IVA_Interes</vt:lpstr>
      <vt:lpstr>CAT_RT!o.CAT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</dc:creator>
  <cp:lastModifiedBy>MAS</cp:lastModifiedBy>
  <dcterms:created xsi:type="dcterms:W3CDTF">2015-07-28T17:11:22Z</dcterms:created>
  <dcterms:modified xsi:type="dcterms:W3CDTF">2016-02-16T18:38:37Z</dcterms:modified>
</cp:coreProperties>
</file>